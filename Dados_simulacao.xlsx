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287e886d1d867e/_PLEA2026/FOG_Harvesting/IOP_Paper/livinglab/"/>
    </mc:Choice>
  </mc:AlternateContent>
  <xr:revisionPtr revIDLastSave="316" documentId="13_ncr:1_{2EE3EE82-EDB3-4A14-ACC1-6FAF914F94C2}" xr6:coauthVersionLast="47" xr6:coauthVersionMax="47" xr10:uidLastSave="{5E332C29-8CB4-498F-AE87-E76765C94AA0}"/>
  <bookViews>
    <workbookView xWindow="-108" yWindow="-108" windowWidth="23256" windowHeight="12456" xr2:uid="{728FED89-040C-427B-8975-85AA3EFE59B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6" i="1" l="1"/>
  <c r="AE55" i="1"/>
  <c r="AE54" i="1" a="1"/>
  <c r="AE54" i="1" s="1"/>
  <c r="AB56" i="1"/>
  <c r="AC56" i="1"/>
  <c r="AC55" i="1"/>
  <c r="AB55" i="1"/>
  <c r="AB54" i="1" a="1"/>
  <c r="AB54" i="1"/>
  <c r="AC54" i="1" a="1"/>
  <c r="AC54" i="1" s="1"/>
  <c r="AC40" i="1"/>
  <c r="AF39" i="1"/>
  <c r="AE39" i="1"/>
  <c r="AF41" i="1"/>
  <c r="AE41" i="1"/>
  <c r="AF43" i="1"/>
  <c r="AE43" i="1"/>
  <c r="AE45" i="1"/>
  <c r="AE47" i="1"/>
  <c r="AF10" i="1"/>
  <c r="AE10" i="1"/>
  <c r="AF12" i="1"/>
  <c r="AE12" i="1"/>
  <c r="AE28" i="1" s="1"/>
  <c r="AF14" i="1"/>
  <c r="AE14" i="1"/>
  <c r="AF16" i="1"/>
  <c r="AE16" i="1"/>
  <c r="AF18" i="1"/>
  <c r="AE18" i="1"/>
  <c r="AF20" i="1"/>
  <c r="AE20" i="1"/>
  <c r="AF22" i="1"/>
  <c r="AE22" i="1"/>
  <c r="AC22" i="1"/>
  <c r="AB22" i="1"/>
  <c r="AC20" i="1"/>
  <c r="AB20" i="1"/>
  <c r="AC18" i="1"/>
  <c r="AB18" i="1"/>
  <c r="AC16" i="1"/>
  <c r="AB16" i="1"/>
  <c r="AC14" i="1"/>
  <c r="AB14" i="1"/>
  <c r="AC12" i="1"/>
  <c r="AB12" i="1"/>
  <c r="AC10" i="1"/>
  <c r="AC28" i="1" s="1"/>
  <c r="AB10" i="1"/>
  <c r="AB28" i="1" s="1"/>
  <c r="AE27" i="1" l="1"/>
  <c r="AF27" i="1"/>
  <c r="AF28" i="1"/>
  <c r="AB27" i="1"/>
  <c r="AC27" i="1"/>
  <c r="AC26" i="1" a="1"/>
  <c r="AC26" i="1" s="1"/>
  <c r="AB26" i="1" a="1"/>
  <c r="AB26" i="1" s="1"/>
  <c r="AE26" i="1" a="1"/>
  <c r="AE26" i="1" s="1"/>
  <c r="AF26" i="1" a="1"/>
  <c r="AF26" i="1" s="1"/>
  <c r="AF54" i="1"/>
  <c r="AF54" i="1" a="1"/>
  <c r="AF56" i="1"/>
  <c r="AF46" i="1"/>
  <c r="AF45" i="1"/>
  <c r="AF5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<sst xmlns="http://schemas.openxmlformats.org/spreadsheetml/2006/main" count="81" uniqueCount="38">
  <si>
    <t>hora</t>
  </si>
  <si>
    <t>INVERNO</t>
  </si>
  <si>
    <t>Verão</t>
  </si>
  <si>
    <t>com veg</t>
  </si>
  <si>
    <t>sem veg</t>
  </si>
  <si>
    <t>TA</t>
  </si>
  <si>
    <t>Temperatura do Ar</t>
  </si>
  <si>
    <t>PET</t>
  </si>
  <si>
    <t>8h</t>
  </si>
  <si>
    <t>6h</t>
  </si>
  <si>
    <t>10h</t>
  </si>
  <si>
    <t>14h</t>
  </si>
  <si>
    <t>16h</t>
  </si>
  <si>
    <t>18h</t>
  </si>
  <si>
    <t>20h</t>
  </si>
  <si>
    <t>22h</t>
  </si>
  <si>
    <t>20/25</t>
  </si>
  <si>
    <t>Verão (02/01/2022)</t>
  </si>
  <si>
    <t>Umidade Absoluta</t>
  </si>
  <si>
    <t>estacao</t>
  </si>
  <si>
    <t>umidade relativa</t>
  </si>
  <si>
    <t>temperatura do ar</t>
  </si>
  <si>
    <t>T (°C)</t>
  </si>
  <si>
    <t>q (g/kg)</t>
  </si>
  <si>
    <t>station</t>
  </si>
  <si>
    <t>with plants</t>
  </si>
  <si>
    <t>without plants</t>
  </si>
  <si>
    <t>Specific Humidity</t>
  </si>
  <si>
    <t>ta1</t>
  </si>
  <si>
    <t>ta2</t>
  </si>
  <si>
    <t>RH%1</t>
  </si>
  <si>
    <t>RH%2</t>
  </si>
  <si>
    <t>Hora</t>
  </si>
  <si>
    <t>q1 (ta1/RH1)</t>
  </si>
  <si>
    <t>q2 (ta2/RH2)</t>
  </si>
  <si>
    <t>RMSE</t>
  </si>
  <si>
    <t>RME</t>
  </si>
  <si>
    <t>PEARSON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</si>
</sst>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:ss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/>
      <bottom style="medium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1" fillId="0" borderId="2" xfId="0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Specific Humidity (g/kg) - Summer (2sd.January</a:t>
            </a:r>
            <a:r>
              <a:rPr lang="pt-BR" sz="1200" baseline="0"/>
              <a:t> 2020</a:t>
            </a:r>
            <a:r>
              <a:rPr lang="pt-BR" baseline="0"/>
              <a:t>)</a:t>
            </a:r>
            <a:endParaRPr lang="pt-BR"/>
          </a:p>
        </c:rich>
      </c:tx>
      <c:layout>
        <c:manualLayout>
          <c:xMode val="edge"/>
          <c:yMode val="edge"/>
          <c:x val="0.3476248906386701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Planilha1!$AD$3</c:f>
              <c:strCache>
                <c:ptCount val="1"/>
                <c:pt idx="0">
                  <c:v>station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Planilha1!$Z$4:$Z$25</c:f>
              <c:numCache>
                <c:formatCode>h:mm</c:formatCode>
                <c:ptCount val="22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0.83333333333333304</c:v>
                </c:pt>
                <c:pt idx="20">
                  <c:v>0.875</c:v>
                </c:pt>
                <c:pt idx="21">
                  <c:v>0.91666666666666596</c:v>
                </c:pt>
              </c:numCache>
            </c:numRef>
          </c:cat>
          <c:val>
            <c:numRef>
              <c:f>Planilha1!$AD$4:$AD$25</c:f>
              <c:numCache>
                <c:formatCode>General</c:formatCode>
                <c:ptCount val="22"/>
                <c:pt idx="0">
                  <c:v>14.83</c:v>
                </c:pt>
                <c:pt idx="1">
                  <c:v>14.95</c:v>
                </c:pt>
                <c:pt idx="2">
                  <c:v>14.9</c:v>
                </c:pt>
                <c:pt idx="3">
                  <c:v>14.84</c:v>
                </c:pt>
                <c:pt idx="4">
                  <c:v>14.92</c:v>
                </c:pt>
                <c:pt idx="5">
                  <c:v>15.07</c:v>
                </c:pt>
                <c:pt idx="6">
                  <c:v>15.01</c:v>
                </c:pt>
                <c:pt idx="7">
                  <c:v>14.92</c:v>
                </c:pt>
                <c:pt idx="8">
                  <c:v>14.96</c:v>
                </c:pt>
                <c:pt idx="9">
                  <c:v>14.78</c:v>
                </c:pt>
                <c:pt idx="10">
                  <c:v>14.81</c:v>
                </c:pt>
                <c:pt idx="11">
                  <c:v>14.43</c:v>
                </c:pt>
                <c:pt idx="12">
                  <c:v>14.06</c:v>
                </c:pt>
                <c:pt idx="13">
                  <c:v>13.28</c:v>
                </c:pt>
                <c:pt idx="14">
                  <c:v>13.35</c:v>
                </c:pt>
                <c:pt idx="15">
                  <c:v>13.55</c:v>
                </c:pt>
                <c:pt idx="16">
                  <c:v>13.14</c:v>
                </c:pt>
                <c:pt idx="17">
                  <c:v>13.61</c:v>
                </c:pt>
                <c:pt idx="18">
                  <c:v>13.91</c:v>
                </c:pt>
                <c:pt idx="19">
                  <c:v>14.06</c:v>
                </c:pt>
                <c:pt idx="20">
                  <c:v>14.47</c:v>
                </c:pt>
                <c:pt idx="21">
                  <c:v>14.78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B1-4042-8BFB-FB96C3912E1E}"/>
            </c:ext>
          </c:extLst>
        </c:ser>
        <c:ser>
          <c:idx val="1"/>
          <c:order val="1"/>
          <c:tx>
            <c:strRef>
              <c:f>Planilha1!$AE$3</c:f>
              <c:strCache>
                <c:ptCount val="1"/>
                <c:pt idx="0">
                  <c:v>with plants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Planilha1!$Z$4:$Z$25</c:f>
              <c:numCache>
                <c:formatCode>h:mm</c:formatCode>
                <c:ptCount val="22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0.83333333333333304</c:v>
                </c:pt>
                <c:pt idx="20">
                  <c:v>0.875</c:v>
                </c:pt>
                <c:pt idx="21">
                  <c:v>0.91666666666666596</c:v>
                </c:pt>
              </c:numCache>
            </c:numRef>
          </c:cat>
          <c:val>
            <c:numRef>
              <c:f>Planilha1!$AE$4:$AE$25</c:f>
              <c:numCache>
                <c:formatCode>General</c:formatCode>
                <c:ptCount val="22"/>
                <c:pt idx="5">
                  <c:v>12.66</c:v>
                </c:pt>
                <c:pt idx="6">
                  <c:v>12.870000000000001</c:v>
                </c:pt>
                <c:pt idx="7">
                  <c:v>13.08</c:v>
                </c:pt>
                <c:pt idx="8">
                  <c:v>13</c:v>
                </c:pt>
                <c:pt idx="9">
                  <c:v>12.92</c:v>
                </c:pt>
                <c:pt idx="10">
                  <c:v>14.739999999999998</c:v>
                </c:pt>
                <c:pt idx="11">
                  <c:v>16.559999999999999</c:v>
                </c:pt>
                <c:pt idx="12">
                  <c:v>16.984999999999999</c:v>
                </c:pt>
                <c:pt idx="13">
                  <c:v>17.41</c:v>
                </c:pt>
                <c:pt idx="14">
                  <c:v>15.190000000000001</c:v>
                </c:pt>
                <c:pt idx="15">
                  <c:v>12.97</c:v>
                </c:pt>
                <c:pt idx="16">
                  <c:v>13.055</c:v>
                </c:pt>
                <c:pt idx="17">
                  <c:v>13.14</c:v>
                </c:pt>
                <c:pt idx="18">
                  <c:v>12.52</c:v>
                </c:pt>
                <c:pt idx="19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B1-4042-8BFB-FB96C3912E1E}"/>
            </c:ext>
          </c:extLst>
        </c:ser>
        <c:ser>
          <c:idx val="2"/>
          <c:order val="2"/>
          <c:tx>
            <c:strRef>
              <c:f>Planilha1!$AF$3</c:f>
              <c:strCache>
                <c:ptCount val="1"/>
                <c:pt idx="0">
                  <c:v>without plants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Planilha1!$Z$4:$Z$25</c:f>
              <c:numCache>
                <c:formatCode>h:mm</c:formatCode>
                <c:ptCount val="22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0.83333333333333304</c:v>
                </c:pt>
                <c:pt idx="20">
                  <c:v>0.875</c:v>
                </c:pt>
                <c:pt idx="21">
                  <c:v>0.91666666666666596</c:v>
                </c:pt>
              </c:numCache>
            </c:numRef>
          </c:cat>
          <c:val>
            <c:numRef>
              <c:f>Planilha1!$AF$4:$AF$25</c:f>
              <c:numCache>
                <c:formatCode>General</c:formatCode>
                <c:ptCount val="22"/>
                <c:pt idx="5">
                  <c:v>12.72</c:v>
                </c:pt>
                <c:pt idx="6">
                  <c:v>12.83</c:v>
                </c:pt>
                <c:pt idx="7">
                  <c:v>12.94</c:v>
                </c:pt>
                <c:pt idx="8">
                  <c:v>13.385</c:v>
                </c:pt>
                <c:pt idx="9">
                  <c:v>13.83</c:v>
                </c:pt>
                <c:pt idx="10">
                  <c:v>13.23</c:v>
                </c:pt>
                <c:pt idx="11">
                  <c:v>12.63</c:v>
                </c:pt>
                <c:pt idx="12">
                  <c:v>12.7</c:v>
                </c:pt>
                <c:pt idx="13">
                  <c:v>12.77</c:v>
                </c:pt>
                <c:pt idx="14">
                  <c:v>12.71</c:v>
                </c:pt>
                <c:pt idx="15">
                  <c:v>12.65</c:v>
                </c:pt>
                <c:pt idx="16">
                  <c:v>12.815000000000001</c:v>
                </c:pt>
                <c:pt idx="17">
                  <c:v>12.98</c:v>
                </c:pt>
                <c:pt idx="18">
                  <c:v>12.98</c:v>
                </c:pt>
                <c:pt idx="19">
                  <c:v>12.98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B1-4042-8BFB-FB96C3912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360895"/>
        <c:axId val="1853366655"/>
      </c:lineChart>
      <c:catAx>
        <c:axId val="185336089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3366655"/>
        <c:crosses val="autoZero"/>
        <c:auto val="1"/>
        <c:lblAlgn val="ctr"/>
        <c:lblOffset val="100"/>
        <c:noMultiLvlLbl val="0"/>
      </c:catAx>
      <c:valAx>
        <c:axId val="185336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336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Planilha1!$Z$32:$Z$53</c:f>
              <c:numCache>
                <c:formatCode>h:mm</c:formatCode>
                <c:ptCount val="22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</c:numCache>
            </c:numRef>
          </c:cat>
          <c:val>
            <c:numRef>
              <c:f>Planilha1!$AA$32:$AA$53</c:f>
              <c:numCache>
                <c:formatCode>General</c:formatCode>
                <c:ptCount val="22"/>
                <c:pt idx="0">
                  <c:v>18.698672999999999</c:v>
                </c:pt>
                <c:pt idx="1">
                  <c:v>17.928674999999998</c:v>
                </c:pt>
                <c:pt idx="2">
                  <c:v>17.848675</c:v>
                </c:pt>
                <c:pt idx="3">
                  <c:v>17.658674000000001</c:v>
                </c:pt>
                <c:pt idx="4">
                  <c:v>17.268673</c:v>
                </c:pt>
                <c:pt idx="5">
                  <c:v>17.358673</c:v>
                </c:pt>
                <c:pt idx="6">
                  <c:v>17.158674000000001</c:v>
                </c:pt>
                <c:pt idx="7">
                  <c:v>17.418673999999999</c:v>
                </c:pt>
                <c:pt idx="8">
                  <c:v>17.088674999999999</c:v>
                </c:pt>
                <c:pt idx="9">
                  <c:v>16.768673</c:v>
                </c:pt>
                <c:pt idx="10">
                  <c:v>16.878674</c:v>
                </c:pt>
                <c:pt idx="11">
                  <c:v>16.728674000000002</c:v>
                </c:pt>
                <c:pt idx="12">
                  <c:v>16.528673000000001</c:v>
                </c:pt>
                <c:pt idx="13">
                  <c:v>17.178673</c:v>
                </c:pt>
                <c:pt idx="14">
                  <c:v>17.778675</c:v>
                </c:pt>
                <c:pt idx="15">
                  <c:v>18.658674000000001</c:v>
                </c:pt>
                <c:pt idx="16">
                  <c:v>19.608675000000002</c:v>
                </c:pt>
                <c:pt idx="17">
                  <c:v>20.708673000000001</c:v>
                </c:pt>
                <c:pt idx="18">
                  <c:v>20.948672999999999</c:v>
                </c:pt>
                <c:pt idx="19">
                  <c:v>21.088674999999999</c:v>
                </c:pt>
                <c:pt idx="20">
                  <c:v>20.068674000000001</c:v>
                </c:pt>
                <c:pt idx="21">
                  <c:v>19.778675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7D-4382-8BA7-A9836D60A91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Planilha1!$Z$32:$Z$53</c:f>
              <c:numCache>
                <c:formatCode>h:mm</c:formatCode>
                <c:ptCount val="22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</c:numCache>
            </c:numRef>
          </c:cat>
          <c:val>
            <c:numRef>
              <c:f>Planilha1!$AB$32:$AB$53</c:f>
              <c:numCache>
                <c:formatCode>General</c:formatCode>
                <c:ptCount val="22"/>
                <c:pt idx="6">
                  <c:v>16.38</c:v>
                </c:pt>
                <c:pt idx="7">
                  <c:v>16.38</c:v>
                </c:pt>
                <c:pt idx="8">
                  <c:v>16.38</c:v>
                </c:pt>
                <c:pt idx="9">
                  <c:v>16.38</c:v>
                </c:pt>
                <c:pt idx="10">
                  <c:v>16.41</c:v>
                </c:pt>
                <c:pt idx="11">
                  <c:v>16.41</c:v>
                </c:pt>
                <c:pt idx="12">
                  <c:v>16.41</c:v>
                </c:pt>
                <c:pt idx="13">
                  <c:v>16.41</c:v>
                </c:pt>
                <c:pt idx="14">
                  <c:v>17</c:v>
                </c:pt>
                <c:pt idx="15">
                  <c:v>17</c:v>
                </c:pt>
                <c:pt idx="1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7D-4382-8BA7-A9836D60A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483791"/>
        <c:axId val="184748091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Planilha1!$Z$32:$Z$53</c15:sqref>
                        </c15:formulaRef>
                      </c:ext>
                    </c:extLst>
                    <c:numCache>
                      <c:formatCode>h:mm</c:formatCode>
                      <c:ptCount val="22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8.3333333333333329E-2</c:v>
                      </c:pt>
                      <c:pt idx="3">
                        <c:v>0.125</c:v>
                      </c:pt>
                      <c:pt idx="4">
                        <c:v>0.16666666666666666</c:v>
                      </c:pt>
                      <c:pt idx="5">
                        <c:v>0.20833333333333334</c:v>
                      </c:pt>
                      <c:pt idx="6">
                        <c:v>0.25</c:v>
                      </c:pt>
                      <c:pt idx="7">
                        <c:v>0.29166666666666669</c:v>
                      </c:pt>
                      <c:pt idx="8">
                        <c:v>0.33333333333333331</c:v>
                      </c:pt>
                      <c:pt idx="9">
                        <c:v>0.375</c:v>
                      </c:pt>
                      <c:pt idx="10">
                        <c:v>0.41666666666666669</c:v>
                      </c:pt>
                      <c:pt idx="11">
                        <c:v>0.45833333333333331</c:v>
                      </c:pt>
                      <c:pt idx="12">
                        <c:v>0.5</c:v>
                      </c:pt>
                      <c:pt idx="13">
                        <c:v>0.54166666666666663</c:v>
                      </c:pt>
                      <c:pt idx="14">
                        <c:v>0.58333333333333337</c:v>
                      </c:pt>
                      <c:pt idx="15">
                        <c:v>0.625</c:v>
                      </c:pt>
                      <c:pt idx="16">
                        <c:v>0.66666666666666663</c:v>
                      </c:pt>
                      <c:pt idx="17">
                        <c:v>0.70833333333333337</c:v>
                      </c:pt>
                      <c:pt idx="18">
                        <c:v>0.75</c:v>
                      </c:pt>
                      <c:pt idx="19">
                        <c:v>0.79166666666666696</c:v>
                      </c:pt>
                      <c:pt idx="20">
                        <c:v>0.83333333333333304</c:v>
                      </c:pt>
                      <c:pt idx="21">
                        <c:v>0.875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Planilha1!$AC$32:$AC$53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6">
                        <c:v>16.38</c:v>
                      </c:pt>
                      <c:pt idx="7">
                        <c:v>16.38</c:v>
                      </c:pt>
                      <c:pt idx="8">
                        <c:v>19.465</c:v>
                      </c:pt>
                      <c:pt idx="9">
                        <c:v>19.465</c:v>
                      </c:pt>
                      <c:pt idx="10">
                        <c:v>22.55</c:v>
                      </c:pt>
                      <c:pt idx="11">
                        <c:v>22.55</c:v>
                      </c:pt>
                      <c:pt idx="12">
                        <c:v>24</c:v>
                      </c:pt>
                      <c:pt idx="13">
                        <c:v>24</c:v>
                      </c:pt>
                      <c:pt idx="14">
                        <c:v>25</c:v>
                      </c:pt>
                      <c:pt idx="15">
                        <c:v>25</c:v>
                      </c:pt>
                      <c:pt idx="16">
                        <c:v>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87D-4382-8BA7-A9836D60A91E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Planilha1!$Z$32:$Z$53</c15:sqref>
                        </c15:formulaRef>
                      </c:ext>
                    </c:extLst>
                    <c:numCache>
                      <c:formatCode>h:mm</c:formatCode>
                      <c:ptCount val="22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8.3333333333333329E-2</c:v>
                      </c:pt>
                      <c:pt idx="3">
                        <c:v>0.125</c:v>
                      </c:pt>
                      <c:pt idx="4">
                        <c:v>0.16666666666666666</c:v>
                      </c:pt>
                      <c:pt idx="5">
                        <c:v>0.20833333333333334</c:v>
                      </c:pt>
                      <c:pt idx="6">
                        <c:v>0.25</c:v>
                      </c:pt>
                      <c:pt idx="7">
                        <c:v>0.29166666666666669</c:v>
                      </c:pt>
                      <c:pt idx="8">
                        <c:v>0.33333333333333331</c:v>
                      </c:pt>
                      <c:pt idx="9">
                        <c:v>0.375</c:v>
                      </c:pt>
                      <c:pt idx="10">
                        <c:v>0.41666666666666669</c:v>
                      </c:pt>
                      <c:pt idx="11">
                        <c:v>0.45833333333333331</c:v>
                      </c:pt>
                      <c:pt idx="12">
                        <c:v>0.5</c:v>
                      </c:pt>
                      <c:pt idx="13">
                        <c:v>0.54166666666666663</c:v>
                      </c:pt>
                      <c:pt idx="14">
                        <c:v>0.58333333333333337</c:v>
                      </c:pt>
                      <c:pt idx="15">
                        <c:v>0.625</c:v>
                      </c:pt>
                      <c:pt idx="16">
                        <c:v>0.66666666666666663</c:v>
                      </c:pt>
                      <c:pt idx="17">
                        <c:v>0.70833333333333337</c:v>
                      </c:pt>
                      <c:pt idx="18">
                        <c:v>0.75</c:v>
                      </c:pt>
                      <c:pt idx="19">
                        <c:v>0.79166666666666696</c:v>
                      </c:pt>
                      <c:pt idx="20">
                        <c:v>0.83333333333333304</c:v>
                      </c:pt>
                      <c:pt idx="21">
                        <c:v>0.875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Planilha1!$AD$32:$AD$53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10.34</c:v>
                      </c:pt>
                      <c:pt idx="1">
                        <c:v>9.86</c:v>
                      </c:pt>
                      <c:pt idx="2">
                        <c:v>9.93</c:v>
                      </c:pt>
                      <c:pt idx="3">
                        <c:v>9.8800000000000008</c:v>
                      </c:pt>
                      <c:pt idx="4">
                        <c:v>9.75</c:v>
                      </c:pt>
                      <c:pt idx="5">
                        <c:v>9.7799999999999994</c:v>
                      </c:pt>
                      <c:pt idx="6">
                        <c:v>9.61</c:v>
                      </c:pt>
                      <c:pt idx="7">
                        <c:v>9.7899999999999991</c:v>
                      </c:pt>
                      <c:pt idx="8">
                        <c:v>9.74</c:v>
                      </c:pt>
                      <c:pt idx="9">
                        <c:v>9.58</c:v>
                      </c:pt>
                      <c:pt idx="10">
                        <c:v>9.65</c:v>
                      </c:pt>
                      <c:pt idx="11">
                        <c:v>9.61</c:v>
                      </c:pt>
                      <c:pt idx="12">
                        <c:v>9.48</c:v>
                      </c:pt>
                      <c:pt idx="13">
                        <c:v>9.4600000000000009</c:v>
                      </c:pt>
                      <c:pt idx="14">
                        <c:v>9.32</c:v>
                      </c:pt>
                      <c:pt idx="15">
                        <c:v>9.61</c:v>
                      </c:pt>
                      <c:pt idx="16">
                        <c:v>9.61</c:v>
                      </c:pt>
                      <c:pt idx="17">
                        <c:v>9.25</c:v>
                      </c:pt>
                      <c:pt idx="18">
                        <c:v>9.26</c:v>
                      </c:pt>
                      <c:pt idx="19">
                        <c:v>9.5399999999999991</c:v>
                      </c:pt>
                      <c:pt idx="20">
                        <c:v>9.2899999999999991</c:v>
                      </c:pt>
                      <c:pt idx="21">
                        <c:v>9.43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87D-4382-8BA7-A9836D60A91E}"/>
                  </c:ext>
                </c:extLst>
              </c15:ser>
            </c15:filteredLineSeries>
          </c:ext>
        </c:extLst>
      </c:lineChart>
      <c:catAx>
        <c:axId val="1847483791"/>
        <c:scaling>
          <c:orientation val="minMax"/>
        </c:scaling>
        <c:delete val="0"/>
        <c:axPos val="b"/>
        <c:numFmt formatCode="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7480911"/>
        <c:crosses val="autoZero"/>
        <c:auto val="1"/>
        <c:lblAlgn val="ctr"/>
        <c:lblOffset val="100"/>
        <c:noMultiLvlLbl val="0"/>
      </c:catAx>
      <c:valAx>
        <c:axId val="184748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748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Air</a:t>
            </a:r>
            <a:r>
              <a:rPr lang="pt-BR" sz="1200" baseline="0"/>
              <a:t> Temperature -Summer</a:t>
            </a:r>
            <a:r>
              <a:rPr lang="pt-BR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Summer (2sd.January 2020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Planilha1!$AA$3</c:f>
              <c:strCache>
                <c:ptCount val="1"/>
                <c:pt idx="0">
                  <c:v>station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Planilha1!$Z$4:$Z$25</c:f>
              <c:numCache>
                <c:formatCode>h:mm</c:formatCode>
                <c:ptCount val="22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0.83333333333333304</c:v>
                </c:pt>
                <c:pt idx="20">
                  <c:v>0.875</c:v>
                </c:pt>
                <c:pt idx="21">
                  <c:v>0.91666666666666596</c:v>
                </c:pt>
              </c:numCache>
            </c:numRef>
          </c:cat>
          <c:val>
            <c:numRef>
              <c:f>Planilha1!$AA$4:$AA$25</c:f>
              <c:numCache>
                <c:formatCode>General</c:formatCode>
                <c:ptCount val="22"/>
                <c:pt idx="0">
                  <c:v>22.28</c:v>
                </c:pt>
                <c:pt idx="1">
                  <c:v>22.24</c:v>
                </c:pt>
                <c:pt idx="2">
                  <c:v>22.1</c:v>
                </c:pt>
                <c:pt idx="3">
                  <c:v>21.94</c:v>
                </c:pt>
                <c:pt idx="4">
                  <c:v>21.87</c:v>
                </c:pt>
                <c:pt idx="5">
                  <c:v>21.73</c:v>
                </c:pt>
                <c:pt idx="6">
                  <c:v>21.45</c:v>
                </c:pt>
                <c:pt idx="7">
                  <c:v>21.05</c:v>
                </c:pt>
                <c:pt idx="8">
                  <c:v>21.07</c:v>
                </c:pt>
                <c:pt idx="9">
                  <c:v>21.13</c:v>
                </c:pt>
                <c:pt idx="10">
                  <c:v>21.17</c:v>
                </c:pt>
                <c:pt idx="11">
                  <c:v>21.03</c:v>
                </c:pt>
                <c:pt idx="12">
                  <c:v>21.69</c:v>
                </c:pt>
                <c:pt idx="13">
                  <c:v>22.79</c:v>
                </c:pt>
                <c:pt idx="14">
                  <c:v>23.43</c:v>
                </c:pt>
                <c:pt idx="15">
                  <c:v>24.04</c:v>
                </c:pt>
                <c:pt idx="16">
                  <c:v>24.6</c:v>
                </c:pt>
                <c:pt idx="17">
                  <c:v>25.41</c:v>
                </c:pt>
                <c:pt idx="18">
                  <c:v>25.24</c:v>
                </c:pt>
                <c:pt idx="19">
                  <c:v>25.45</c:v>
                </c:pt>
                <c:pt idx="20">
                  <c:v>25.22</c:v>
                </c:pt>
                <c:pt idx="21">
                  <c:v>24.54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3-4519-86A1-2D5ECA0B423C}"/>
            </c:ext>
          </c:extLst>
        </c:ser>
        <c:ser>
          <c:idx val="1"/>
          <c:order val="1"/>
          <c:tx>
            <c:strRef>
              <c:f>Planilha1!$AB$3</c:f>
              <c:strCache>
                <c:ptCount val="1"/>
                <c:pt idx="0">
                  <c:v>with plants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Planilha1!$Z$4:$Z$25</c:f>
              <c:numCache>
                <c:formatCode>h:mm</c:formatCode>
                <c:ptCount val="22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0.83333333333333304</c:v>
                </c:pt>
                <c:pt idx="20">
                  <c:v>0.875</c:v>
                </c:pt>
                <c:pt idx="21">
                  <c:v>0.91666666666666596</c:v>
                </c:pt>
              </c:numCache>
            </c:numRef>
          </c:cat>
          <c:val>
            <c:numRef>
              <c:f>Planilha1!$AB$4:$AB$25</c:f>
              <c:numCache>
                <c:formatCode>General</c:formatCode>
                <c:ptCount val="22"/>
                <c:pt idx="5">
                  <c:v>19.100000000000001</c:v>
                </c:pt>
                <c:pt idx="6">
                  <c:v>19.385000000000002</c:v>
                </c:pt>
                <c:pt idx="7">
                  <c:v>19.670000000000002</c:v>
                </c:pt>
                <c:pt idx="8">
                  <c:v>20.23</c:v>
                </c:pt>
                <c:pt idx="9">
                  <c:v>20.79</c:v>
                </c:pt>
                <c:pt idx="10">
                  <c:v>22.445</c:v>
                </c:pt>
                <c:pt idx="11">
                  <c:v>24.1</c:v>
                </c:pt>
                <c:pt idx="12">
                  <c:v>24.83</c:v>
                </c:pt>
                <c:pt idx="13">
                  <c:v>25.56</c:v>
                </c:pt>
                <c:pt idx="14">
                  <c:v>24.53</c:v>
                </c:pt>
                <c:pt idx="15">
                  <c:v>23.5</c:v>
                </c:pt>
                <c:pt idx="16">
                  <c:v>22.305</c:v>
                </c:pt>
                <c:pt idx="17">
                  <c:v>21.11</c:v>
                </c:pt>
                <c:pt idx="18">
                  <c:v>21.1</c:v>
                </c:pt>
                <c:pt idx="19">
                  <c:v>21.09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13-4519-86A1-2D5ECA0B423C}"/>
            </c:ext>
          </c:extLst>
        </c:ser>
        <c:ser>
          <c:idx val="2"/>
          <c:order val="2"/>
          <c:tx>
            <c:strRef>
              <c:f>Planilha1!$AC$3</c:f>
              <c:strCache>
                <c:ptCount val="1"/>
                <c:pt idx="0">
                  <c:v>without plants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Planilha1!$Z$4:$Z$25</c:f>
              <c:numCache>
                <c:formatCode>h:mm</c:formatCode>
                <c:ptCount val="22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0.83333333333333304</c:v>
                </c:pt>
                <c:pt idx="20">
                  <c:v>0.875</c:v>
                </c:pt>
                <c:pt idx="21">
                  <c:v>0.91666666666666596</c:v>
                </c:pt>
              </c:numCache>
            </c:numRef>
          </c:cat>
          <c:val>
            <c:numRef>
              <c:f>Planilha1!$AC$4:$AC$25</c:f>
              <c:numCache>
                <c:formatCode>General</c:formatCode>
                <c:ptCount val="22"/>
                <c:pt idx="5">
                  <c:v>19.149999999999999</c:v>
                </c:pt>
                <c:pt idx="6">
                  <c:v>20.145</c:v>
                </c:pt>
                <c:pt idx="7">
                  <c:v>21.14</c:v>
                </c:pt>
                <c:pt idx="8">
                  <c:v>22.75</c:v>
                </c:pt>
                <c:pt idx="9">
                  <c:v>24.36</c:v>
                </c:pt>
                <c:pt idx="10">
                  <c:v>24.475000000000001</c:v>
                </c:pt>
                <c:pt idx="11">
                  <c:v>24.59</c:v>
                </c:pt>
                <c:pt idx="12">
                  <c:v>25.795000000000002</c:v>
                </c:pt>
                <c:pt idx="13">
                  <c:v>27</c:v>
                </c:pt>
                <c:pt idx="14">
                  <c:v>25.675000000000001</c:v>
                </c:pt>
                <c:pt idx="15">
                  <c:v>24.35</c:v>
                </c:pt>
                <c:pt idx="16">
                  <c:v>23.675000000000001</c:v>
                </c:pt>
                <c:pt idx="17">
                  <c:v>23</c:v>
                </c:pt>
                <c:pt idx="18">
                  <c:v>21.61</c:v>
                </c:pt>
                <c:pt idx="19">
                  <c:v>20.22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13-4519-86A1-2D5ECA0B4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360895"/>
        <c:axId val="1853366655"/>
      </c:lineChart>
      <c:catAx>
        <c:axId val="185336089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3366655"/>
        <c:crosses val="autoZero"/>
        <c:auto val="1"/>
        <c:lblAlgn val="ctr"/>
        <c:lblOffset val="100"/>
        <c:noMultiLvlLbl val="0"/>
      </c:catAx>
      <c:valAx>
        <c:axId val="185336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336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Air</a:t>
            </a:r>
            <a:r>
              <a:rPr lang="pt-BR" sz="1200" baseline="0"/>
              <a:t> Temperature -Summer</a:t>
            </a:r>
            <a:r>
              <a:rPr lang="pt-BR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Summer (2sd.January 2020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Planilha1!$AA$3</c:f>
              <c:strCache>
                <c:ptCount val="1"/>
                <c:pt idx="0">
                  <c:v>station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Planilha1!$Z$4:$Z$25</c:f>
              <c:numCache>
                <c:formatCode>h:mm</c:formatCode>
                <c:ptCount val="22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0.83333333333333304</c:v>
                </c:pt>
                <c:pt idx="20">
                  <c:v>0.875</c:v>
                </c:pt>
                <c:pt idx="21">
                  <c:v>0.91666666666666596</c:v>
                </c:pt>
              </c:numCache>
            </c:numRef>
          </c:cat>
          <c:val>
            <c:numRef>
              <c:f>Planilha1!$AA$4:$AA$25</c:f>
              <c:numCache>
                <c:formatCode>General</c:formatCode>
                <c:ptCount val="22"/>
                <c:pt idx="0">
                  <c:v>22.28</c:v>
                </c:pt>
                <c:pt idx="1">
                  <c:v>22.24</c:v>
                </c:pt>
                <c:pt idx="2">
                  <c:v>22.1</c:v>
                </c:pt>
                <c:pt idx="3">
                  <c:v>21.94</c:v>
                </c:pt>
                <c:pt idx="4">
                  <c:v>21.87</c:v>
                </c:pt>
                <c:pt idx="5">
                  <c:v>21.73</c:v>
                </c:pt>
                <c:pt idx="6">
                  <c:v>21.45</c:v>
                </c:pt>
                <c:pt idx="7">
                  <c:v>21.05</c:v>
                </c:pt>
                <c:pt idx="8">
                  <c:v>21.07</c:v>
                </c:pt>
                <c:pt idx="9">
                  <c:v>21.13</c:v>
                </c:pt>
                <c:pt idx="10">
                  <c:v>21.17</c:v>
                </c:pt>
                <c:pt idx="11">
                  <c:v>21.03</c:v>
                </c:pt>
                <c:pt idx="12">
                  <c:v>21.69</c:v>
                </c:pt>
                <c:pt idx="13">
                  <c:v>22.79</c:v>
                </c:pt>
                <c:pt idx="14">
                  <c:v>23.43</c:v>
                </c:pt>
                <c:pt idx="15">
                  <c:v>24.04</c:v>
                </c:pt>
                <c:pt idx="16">
                  <c:v>24.6</c:v>
                </c:pt>
                <c:pt idx="17">
                  <c:v>25.41</c:v>
                </c:pt>
                <c:pt idx="18">
                  <c:v>25.24</c:v>
                </c:pt>
                <c:pt idx="19">
                  <c:v>25.45</c:v>
                </c:pt>
                <c:pt idx="20">
                  <c:v>25.22</c:v>
                </c:pt>
                <c:pt idx="21">
                  <c:v>24.54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3-4519-86A1-2D5ECA0B423C}"/>
            </c:ext>
          </c:extLst>
        </c:ser>
        <c:ser>
          <c:idx val="1"/>
          <c:order val="1"/>
          <c:tx>
            <c:strRef>
              <c:f>Planilha1!$AB$3</c:f>
              <c:strCache>
                <c:ptCount val="1"/>
                <c:pt idx="0">
                  <c:v>with plants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Planilha1!$Z$4:$Z$25</c:f>
              <c:numCache>
                <c:formatCode>h:mm</c:formatCode>
                <c:ptCount val="22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0.83333333333333304</c:v>
                </c:pt>
                <c:pt idx="20">
                  <c:v>0.875</c:v>
                </c:pt>
                <c:pt idx="21">
                  <c:v>0.91666666666666596</c:v>
                </c:pt>
              </c:numCache>
            </c:numRef>
          </c:cat>
          <c:val>
            <c:numRef>
              <c:f>Planilha1!$AB$4:$AB$25</c:f>
              <c:numCache>
                <c:formatCode>General</c:formatCode>
                <c:ptCount val="22"/>
                <c:pt idx="5">
                  <c:v>19.100000000000001</c:v>
                </c:pt>
                <c:pt idx="6">
                  <c:v>19.385000000000002</c:v>
                </c:pt>
                <c:pt idx="7">
                  <c:v>19.670000000000002</c:v>
                </c:pt>
                <c:pt idx="8">
                  <c:v>20.23</c:v>
                </c:pt>
                <c:pt idx="9">
                  <c:v>20.79</c:v>
                </c:pt>
                <c:pt idx="10">
                  <c:v>22.445</c:v>
                </c:pt>
                <c:pt idx="11">
                  <c:v>24.1</c:v>
                </c:pt>
                <c:pt idx="12">
                  <c:v>24.83</c:v>
                </c:pt>
                <c:pt idx="13">
                  <c:v>25.56</c:v>
                </c:pt>
                <c:pt idx="14">
                  <c:v>24.53</c:v>
                </c:pt>
                <c:pt idx="15">
                  <c:v>23.5</c:v>
                </c:pt>
                <c:pt idx="16">
                  <c:v>22.305</c:v>
                </c:pt>
                <c:pt idx="17">
                  <c:v>21.11</c:v>
                </c:pt>
                <c:pt idx="18">
                  <c:v>21.1</c:v>
                </c:pt>
                <c:pt idx="19">
                  <c:v>21.09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13-4519-86A1-2D5ECA0B423C}"/>
            </c:ext>
          </c:extLst>
        </c:ser>
        <c:ser>
          <c:idx val="2"/>
          <c:order val="2"/>
          <c:tx>
            <c:strRef>
              <c:f>Planilha1!$AC$3</c:f>
              <c:strCache>
                <c:ptCount val="1"/>
                <c:pt idx="0">
                  <c:v>without plants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Planilha1!$Z$4:$Z$25</c:f>
              <c:numCache>
                <c:formatCode>h:mm</c:formatCode>
                <c:ptCount val="22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0.83333333333333304</c:v>
                </c:pt>
                <c:pt idx="20">
                  <c:v>0.875</c:v>
                </c:pt>
                <c:pt idx="21">
                  <c:v>0.91666666666666596</c:v>
                </c:pt>
              </c:numCache>
            </c:numRef>
          </c:cat>
          <c:val>
            <c:numRef>
              <c:f>Planilha1!$AC$4:$AC$25</c:f>
              <c:numCache>
                <c:formatCode>General</c:formatCode>
                <c:ptCount val="22"/>
                <c:pt idx="5">
                  <c:v>19.149999999999999</c:v>
                </c:pt>
                <c:pt idx="6">
                  <c:v>20.145</c:v>
                </c:pt>
                <c:pt idx="7">
                  <c:v>21.14</c:v>
                </c:pt>
                <c:pt idx="8">
                  <c:v>22.75</c:v>
                </c:pt>
                <c:pt idx="9">
                  <c:v>24.36</c:v>
                </c:pt>
                <c:pt idx="10">
                  <c:v>24.475000000000001</c:v>
                </c:pt>
                <c:pt idx="11">
                  <c:v>24.59</c:v>
                </c:pt>
                <c:pt idx="12">
                  <c:v>25.795000000000002</c:v>
                </c:pt>
                <c:pt idx="13">
                  <c:v>27</c:v>
                </c:pt>
                <c:pt idx="14">
                  <c:v>25.675000000000001</c:v>
                </c:pt>
                <c:pt idx="15">
                  <c:v>24.35</c:v>
                </c:pt>
                <c:pt idx="16">
                  <c:v>23.675000000000001</c:v>
                </c:pt>
                <c:pt idx="17">
                  <c:v>23</c:v>
                </c:pt>
                <c:pt idx="18">
                  <c:v>21.61</c:v>
                </c:pt>
                <c:pt idx="19">
                  <c:v>20.22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13-4519-86A1-2D5ECA0B4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360895"/>
        <c:axId val="1853366655"/>
      </c:lineChart>
      <c:catAx>
        <c:axId val="185336089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3366655"/>
        <c:crosses val="autoZero"/>
        <c:auto val="1"/>
        <c:lblAlgn val="ctr"/>
        <c:lblOffset val="100"/>
        <c:noMultiLvlLbl val="0"/>
      </c:catAx>
      <c:valAx>
        <c:axId val="185336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336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Air</a:t>
            </a:r>
            <a:r>
              <a:rPr lang="pt-BR" sz="1200" baseline="0"/>
              <a:t> Temperature -Summer</a:t>
            </a:r>
            <a:r>
              <a:rPr lang="pt-BR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Summer (2sd.January 2020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Planilha1!$AA$3</c:f>
              <c:strCache>
                <c:ptCount val="1"/>
                <c:pt idx="0">
                  <c:v>station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Planilha1!$Z$4:$Z$25</c:f>
              <c:numCache>
                <c:formatCode>h:mm</c:formatCode>
                <c:ptCount val="22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0.83333333333333304</c:v>
                </c:pt>
                <c:pt idx="20">
                  <c:v>0.875</c:v>
                </c:pt>
                <c:pt idx="21">
                  <c:v>0.91666666666666596</c:v>
                </c:pt>
              </c:numCache>
            </c:numRef>
          </c:cat>
          <c:val>
            <c:numRef>
              <c:f>Planilha1!$AA$4:$AA$25</c:f>
              <c:numCache>
                <c:formatCode>General</c:formatCode>
                <c:ptCount val="22"/>
                <c:pt idx="0">
                  <c:v>22.28</c:v>
                </c:pt>
                <c:pt idx="1">
                  <c:v>22.24</c:v>
                </c:pt>
                <c:pt idx="2">
                  <c:v>22.1</c:v>
                </c:pt>
                <c:pt idx="3">
                  <c:v>21.94</c:v>
                </c:pt>
                <c:pt idx="4">
                  <c:v>21.87</c:v>
                </c:pt>
                <c:pt idx="5">
                  <c:v>21.73</c:v>
                </c:pt>
                <c:pt idx="6">
                  <c:v>21.45</c:v>
                </c:pt>
                <c:pt idx="7">
                  <c:v>21.05</c:v>
                </c:pt>
                <c:pt idx="8">
                  <c:v>21.07</c:v>
                </c:pt>
                <c:pt idx="9">
                  <c:v>21.13</c:v>
                </c:pt>
                <c:pt idx="10">
                  <c:v>21.17</c:v>
                </c:pt>
                <c:pt idx="11">
                  <c:v>21.03</c:v>
                </c:pt>
                <c:pt idx="12">
                  <c:v>21.69</c:v>
                </c:pt>
                <c:pt idx="13">
                  <c:v>22.79</c:v>
                </c:pt>
                <c:pt idx="14">
                  <c:v>23.43</c:v>
                </c:pt>
                <c:pt idx="15">
                  <c:v>24.04</c:v>
                </c:pt>
                <c:pt idx="16">
                  <c:v>24.6</c:v>
                </c:pt>
                <c:pt idx="17">
                  <c:v>25.41</c:v>
                </c:pt>
                <c:pt idx="18">
                  <c:v>25.24</c:v>
                </c:pt>
                <c:pt idx="19">
                  <c:v>25.45</c:v>
                </c:pt>
                <c:pt idx="20">
                  <c:v>25.22</c:v>
                </c:pt>
                <c:pt idx="21">
                  <c:v>24.54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3-4519-86A1-2D5ECA0B423C}"/>
            </c:ext>
          </c:extLst>
        </c:ser>
        <c:ser>
          <c:idx val="1"/>
          <c:order val="1"/>
          <c:tx>
            <c:strRef>
              <c:f>Planilha1!$AB$3</c:f>
              <c:strCache>
                <c:ptCount val="1"/>
                <c:pt idx="0">
                  <c:v>with plants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Planilha1!$Z$4:$Z$25</c:f>
              <c:numCache>
                <c:formatCode>h:mm</c:formatCode>
                <c:ptCount val="22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0.83333333333333304</c:v>
                </c:pt>
                <c:pt idx="20">
                  <c:v>0.875</c:v>
                </c:pt>
                <c:pt idx="21">
                  <c:v>0.91666666666666596</c:v>
                </c:pt>
              </c:numCache>
            </c:numRef>
          </c:cat>
          <c:val>
            <c:numRef>
              <c:f>Planilha1!$AB$4:$AB$25</c:f>
              <c:numCache>
                <c:formatCode>General</c:formatCode>
                <c:ptCount val="22"/>
                <c:pt idx="5">
                  <c:v>19.100000000000001</c:v>
                </c:pt>
                <c:pt idx="6">
                  <c:v>19.385000000000002</c:v>
                </c:pt>
                <c:pt idx="7">
                  <c:v>19.670000000000002</c:v>
                </c:pt>
                <c:pt idx="8">
                  <c:v>20.23</c:v>
                </c:pt>
                <c:pt idx="9">
                  <c:v>20.79</c:v>
                </c:pt>
                <c:pt idx="10">
                  <c:v>22.445</c:v>
                </c:pt>
                <c:pt idx="11">
                  <c:v>24.1</c:v>
                </c:pt>
                <c:pt idx="12">
                  <c:v>24.83</c:v>
                </c:pt>
                <c:pt idx="13">
                  <c:v>25.56</c:v>
                </c:pt>
                <c:pt idx="14">
                  <c:v>24.53</c:v>
                </c:pt>
                <c:pt idx="15">
                  <c:v>23.5</c:v>
                </c:pt>
                <c:pt idx="16">
                  <c:v>22.305</c:v>
                </c:pt>
                <c:pt idx="17">
                  <c:v>21.11</c:v>
                </c:pt>
                <c:pt idx="18">
                  <c:v>21.1</c:v>
                </c:pt>
                <c:pt idx="19">
                  <c:v>21.09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13-4519-86A1-2D5ECA0B423C}"/>
            </c:ext>
          </c:extLst>
        </c:ser>
        <c:ser>
          <c:idx val="2"/>
          <c:order val="2"/>
          <c:tx>
            <c:strRef>
              <c:f>Planilha1!$AC$3</c:f>
              <c:strCache>
                <c:ptCount val="1"/>
                <c:pt idx="0">
                  <c:v>without plants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Planilha1!$Z$4:$Z$25</c:f>
              <c:numCache>
                <c:formatCode>h:mm</c:formatCode>
                <c:ptCount val="22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0.83333333333333304</c:v>
                </c:pt>
                <c:pt idx="20">
                  <c:v>0.875</c:v>
                </c:pt>
                <c:pt idx="21">
                  <c:v>0.91666666666666596</c:v>
                </c:pt>
              </c:numCache>
            </c:numRef>
          </c:cat>
          <c:val>
            <c:numRef>
              <c:f>Planilha1!$AC$4:$AC$25</c:f>
              <c:numCache>
                <c:formatCode>General</c:formatCode>
                <c:ptCount val="22"/>
                <c:pt idx="5">
                  <c:v>19.149999999999999</c:v>
                </c:pt>
                <c:pt idx="6">
                  <c:v>20.145</c:v>
                </c:pt>
                <c:pt idx="7">
                  <c:v>21.14</c:v>
                </c:pt>
                <c:pt idx="8">
                  <c:v>22.75</c:v>
                </c:pt>
                <c:pt idx="9">
                  <c:v>24.36</c:v>
                </c:pt>
                <c:pt idx="10">
                  <c:v>24.475000000000001</c:v>
                </c:pt>
                <c:pt idx="11">
                  <c:v>24.59</c:v>
                </c:pt>
                <c:pt idx="12">
                  <c:v>25.795000000000002</c:v>
                </c:pt>
                <c:pt idx="13">
                  <c:v>27</c:v>
                </c:pt>
                <c:pt idx="14">
                  <c:v>25.675000000000001</c:v>
                </c:pt>
                <c:pt idx="15">
                  <c:v>24.35</c:v>
                </c:pt>
                <c:pt idx="16">
                  <c:v>23.675000000000001</c:v>
                </c:pt>
                <c:pt idx="17">
                  <c:v>23</c:v>
                </c:pt>
                <c:pt idx="18">
                  <c:v>21.61</c:v>
                </c:pt>
                <c:pt idx="19">
                  <c:v>20.22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13-4519-86A1-2D5ECA0B4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360895"/>
        <c:axId val="1853366655"/>
      </c:lineChart>
      <c:catAx>
        <c:axId val="185336089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3366655"/>
        <c:crosses val="autoZero"/>
        <c:auto val="1"/>
        <c:lblAlgn val="ctr"/>
        <c:lblOffset val="100"/>
        <c:noMultiLvlLbl val="0"/>
      </c:catAx>
      <c:valAx>
        <c:axId val="185336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336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556260</xdr:colOff>
      <xdr:row>1</xdr:row>
      <xdr:rowOff>60960</xdr:rowOff>
    </xdr:from>
    <xdr:to>
      <xdr:col>45</xdr:col>
      <xdr:colOff>251460</xdr:colOff>
      <xdr:row>12</xdr:row>
      <xdr:rowOff>190500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B5880B7-E8EB-405D-8337-0AAE51A0D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533400</xdr:colOff>
      <xdr:row>36</xdr:row>
      <xdr:rowOff>64770</xdr:rowOff>
    </xdr:from>
    <xdr:to>
      <xdr:col>43</xdr:col>
      <xdr:colOff>228600</xdr:colOff>
      <xdr:row>51</xdr:row>
      <xdr:rowOff>64770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A1C42A2-0D77-3205-FE75-483EE9314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539634</xdr:colOff>
      <xdr:row>14</xdr:row>
      <xdr:rowOff>5888</xdr:rowOff>
    </xdr:from>
    <xdr:to>
      <xdr:col>44</xdr:col>
      <xdr:colOff>234834</xdr:colOff>
      <xdr:row>26</xdr:row>
      <xdr:rowOff>97329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CCE5582-F746-58BE-4DEA-F6BBA0A15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317961</xdr:colOff>
      <xdr:row>13</xdr:row>
      <xdr:rowOff>75161</xdr:rowOff>
    </xdr:from>
    <xdr:to>
      <xdr:col>44</xdr:col>
      <xdr:colOff>13161</xdr:colOff>
      <xdr:row>25</xdr:row>
      <xdr:rowOff>166601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C20E609-E0FB-6C5B-8378-1416D61DF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27015</xdr:colOff>
      <xdr:row>13</xdr:row>
      <xdr:rowOff>199852</xdr:rowOff>
    </xdr:from>
    <xdr:to>
      <xdr:col>47</xdr:col>
      <xdr:colOff>331815</xdr:colOff>
      <xdr:row>26</xdr:row>
      <xdr:rowOff>69620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14FE2AC-4589-3529-6B45-A97DF3D3C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6303-B76D-4691-AA39-293BA885BBB0}">
  <dimension ref="A1:AT56"/>
  <sheetViews>
    <sheetView tabSelected="1" topLeftCell="M1" zoomScale="55" zoomScaleNormal="55" workbookViewId="0">
      <selection activeCell="AF28" sqref="Z2:AF28"/>
    </sheetView>
  </sheetViews>
  <sheetFormatPr defaultRowHeight="14.4" x14ac:dyDescent="0.3"/>
  <cols>
    <col min="9" max="9" width="14" customWidth="1"/>
    <col min="19" max="19" width="25.21875" customWidth="1"/>
    <col min="21" max="21" width="6.5546875" customWidth="1"/>
    <col min="22" max="22" width="22.44140625" customWidth="1"/>
    <col min="26" max="26" width="21.77734375" customWidth="1"/>
  </cols>
  <sheetData>
    <row r="1" spans="1:34" x14ac:dyDescent="0.3">
      <c r="C1" s="5" t="s">
        <v>6</v>
      </c>
      <c r="D1" s="5"/>
      <c r="E1" s="5"/>
      <c r="F1" s="5"/>
      <c r="G1" s="1"/>
      <c r="H1" s="5" t="s">
        <v>18</v>
      </c>
      <c r="I1" s="5"/>
      <c r="J1" s="5"/>
      <c r="K1" s="5"/>
      <c r="L1" s="1"/>
      <c r="M1" s="5" t="s">
        <v>7</v>
      </c>
      <c r="N1" s="5"/>
      <c r="O1" s="5"/>
      <c r="P1" s="5"/>
    </row>
    <row r="2" spans="1:34" ht="15" customHeight="1" thickBot="1" x14ac:dyDescent="0.35">
      <c r="B2" t="s">
        <v>5</v>
      </c>
      <c r="C2" s="5" t="s">
        <v>1</v>
      </c>
      <c r="D2" s="5"/>
      <c r="E2" s="5" t="s">
        <v>2</v>
      </c>
      <c r="F2" s="5"/>
      <c r="G2" s="1"/>
      <c r="H2" s="5" t="s">
        <v>1</v>
      </c>
      <c r="I2" s="5"/>
      <c r="J2" s="5" t="s">
        <v>2</v>
      </c>
      <c r="K2" s="5"/>
      <c r="L2" s="1"/>
      <c r="M2" s="5" t="s">
        <v>1</v>
      </c>
      <c r="N2" s="5"/>
      <c r="O2" s="5" t="s">
        <v>17</v>
      </c>
      <c r="P2" s="5"/>
      <c r="AA2" s="14" t="s">
        <v>22</v>
      </c>
      <c r="AB2" s="14"/>
      <c r="AC2" s="14"/>
      <c r="AD2" s="13" t="s">
        <v>23</v>
      </c>
      <c r="AE2" s="13"/>
      <c r="AF2" s="13"/>
    </row>
    <row r="3" spans="1:34" ht="34.200000000000003" thickBot="1" x14ac:dyDescent="0.35">
      <c r="A3" s="2"/>
      <c r="B3" s="2" t="s">
        <v>0</v>
      </c>
      <c r="C3" s="2" t="s">
        <v>3</v>
      </c>
      <c r="D3" s="2" t="s">
        <v>4</v>
      </c>
      <c r="E3" s="2" t="s">
        <v>3</v>
      </c>
      <c r="F3" s="2" t="s">
        <v>4</v>
      </c>
      <c r="G3" s="2" t="s">
        <v>19</v>
      </c>
      <c r="H3" s="2" t="s">
        <v>3</v>
      </c>
      <c r="I3" s="2" t="s">
        <v>4</v>
      </c>
      <c r="J3" s="2" t="s">
        <v>3</v>
      </c>
      <c r="K3" s="2" t="s">
        <v>4</v>
      </c>
      <c r="L3" s="2" t="s">
        <v>19</v>
      </c>
      <c r="M3" s="2" t="s">
        <v>3</v>
      </c>
      <c r="N3" s="2" t="s">
        <v>4</v>
      </c>
      <c r="O3" s="2" t="s">
        <v>3</v>
      </c>
      <c r="P3" s="2" t="s">
        <v>4</v>
      </c>
      <c r="W3" t="s">
        <v>21</v>
      </c>
      <c r="X3" t="s">
        <v>20</v>
      </c>
      <c r="Y3" t="s">
        <v>20</v>
      </c>
      <c r="Z3" s="9" t="s">
        <v>0</v>
      </c>
      <c r="AA3" s="9" t="s">
        <v>24</v>
      </c>
      <c r="AB3" s="9" t="s">
        <v>25</v>
      </c>
      <c r="AC3" s="9" t="s">
        <v>26</v>
      </c>
      <c r="AD3" s="9" t="s">
        <v>24</v>
      </c>
      <c r="AE3" s="9" t="s">
        <v>25</v>
      </c>
      <c r="AF3" s="9" t="s">
        <v>26</v>
      </c>
      <c r="AG3" s="9" t="s">
        <v>25</v>
      </c>
      <c r="AH3" s="9" t="s">
        <v>26</v>
      </c>
    </row>
    <row r="4" spans="1:34" ht="17.399999999999999" thickBot="1" x14ac:dyDescent="0.35">
      <c r="A4" s="6" t="s">
        <v>16</v>
      </c>
      <c r="B4" s="2" t="s">
        <v>9</v>
      </c>
      <c r="C4" s="2">
        <v>16.38</v>
      </c>
      <c r="D4" s="2"/>
      <c r="E4" s="2">
        <v>19.100000000000001</v>
      </c>
      <c r="F4" s="2">
        <v>19.149999999999999</v>
      </c>
      <c r="G4">
        <v>21.728674000000002</v>
      </c>
      <c r="H4" s="2">
        <v>9.18</v>
      </c>
      <c r="I4" s="4">
        <v>8.84</v>
      </c>
      <c r="J4" s="2">
        <v>12.66</v>
      </c>
      <c r="K4" s="2">
        <v>12.72</v>
      </c>
      <c r="L4" s="2"/>
      <c r="M4" s="2">
        <v>14.09</v>
      </c>
      <c r="N4" s="2"/>
      <c r="O4" s="2"/>
      <c r="P4" s="2">
        <v>21</v>
      </c>
      <c r="S4" s="8">
        <v>43832</v>
      </c>
      <c r="T4">
        <v>22.568674000000001</v>
      </c>
      <c r="V4" s="8">
        <v>43832.041666666672</v>
      </c>
      <c r="W4">
        <v>22.278675</v>
      </c>
      <c r="X4">
        <v>89.081789999999998</v>
      </c>
      <c r="Y4">
        <v>89.081789999999998</v>
      </c>
      <c r="Z4" s="10">
        <v>4.1666666666666664E-2</v>
      </c>
      <c r="AA4" s="11">
        <v>22.28</v>
      </c>
      <c r="AB4" s="11"/>
      <c r="AC4" s="11"/>
      <c r="AD4" s="12">
        <v>14.83</v>
      </c>
    </row>
    <row r="5" spans="1:34" ht="17.399999999999999" thickBot="1" x14ac:dyDescent="0.35">
      <c r="A5" s="6"/>
      <c r="B5" s="2" t="s">
        <v>8</v>
      </c>
      <c r="C5" s="2"/>
      <c r="D5" s="2"/>
      <c r="E5" s="2">
        <v>19.670000000000002</v>
      </c>
      <c r="F5" s="2">
        <v>21.14</v>
      </c>
      <c r="G5">
        <v>21.048673999999998</v>
      </c>
      <c r="H5" s="2">
        <v>9.3000000000000007</v>
      </c>
      <c r="I5" s="4">
        <v>9.01</v>
      </c>
      <c r="J5" s="2">
        <v>13.08</v>
      </c>
      <c r="K5" s="2">
        <v>12.94</v>
      </c>
      <c r="L5" s="2"/>
      <c r="M5" s="2"/>
      <c r="N5" s="2"/>
      <c r="O5" s="2"/>
      <c r="P5" s="2"/>
      <c r="S5" s="8">
        <v>43832.041666666672</v>
      </c>
      <c r="T5">
        <v>22.278675</v>
      </c>
      <c r="V5" s="8">
        <v>43832.083333333328</v>
      </c>
      <c r="W5">
        <v>22.238674</v>
      </c>
      <c r="X5">
        <v>89.97448</v>
      </c>
      <c r="Y5">
        <v>89.97448</v>
      </c>
      <c r="Z5" s="10">
        <v>8.3333333333333329E-2</v>
      </c>
      <c r="AA5" s="11">
        <v>22.24</v>
      </c>
      <c r="AB5" s="11"/>
      <c r="AC5" s="11"/>
      <c r="AD5" s="12">
        <v>14.95</v>
      </c>
    </row>
    <row r="6" spans="1:34" ht="17.399999999999999" thickBot="1" x14ac:dyDescent="0.35">
      <c r="A6" s="6"/>
      <c r="B6" s="2" t="s">
        <v>10</v>
      </c>
      <c r="C6" s="2">
        <v>16.41</v>
      </c>
      <c r="D6" s="2">
        <v>22.55</v>
      </c>
      <c r="E6" s="2">
        <v>20.79</v>
      </c>
      <c r="F6" s="2">
        <v>24.36</v>
      </c>
      <c r="G6">
        <v>21.128674</v>
      </c>
      <c r="H6" s="2">
        <v>8.84</v>
      </c>
      <c r="I6" s="4">
        <v>9.5399999999999991</v>
      </c>
      <c r="J6" s="2">
        <v>12.92</v>
      </c>
      <c r="K6" s="2">
        <v>13.83</v>
      </c>
      <c r="L6" s="2"/>
      <c r="M6" s="2">
        <v>24.99</v>
      </c>
      <c r="N6" s="2"/>
      <c r="O6" s="2">
        <v>27</v>
      </c>
      <c r="P6" s="2">
        <v>37</v>
      </c>
      <c r="S6" s="8">
        <v>43832.083333333328</v>
      </c>
      <c r="T6">
        <v>22.238674</v>
      </c>
      <c r="V6" s="8">
        <v>43832.125</v>
      </c>
      <c r="W6">
        <v>22.098675</v>
      </c>
      <c r="X6">
        <v>90.472710000000006</v>
      </c>
      <c r="Y6">
        <v>90.472710000000006</v>
      </c>
      <c r="Z6" s="10">
        <v>0.125</v>
      </c>
      <c r="AA6" s="11">
        <v>22.1</v>
      </c>
      <c r="AB6" s="11"/>
      <c r="AC6" s="11"/>
      <c r="AD6" s="12">
        <v>14.9</v>
      </c>
    </row>
    <row r="7" spans="1:34" ht="17.399999999999999" thickBot="1" x14ac:dyDescent="0.35">
      <c r="A7" s="6"/>
      <c r="B7" s="2" t="s">
        <v>11</v>
      </c>
      <c r="C7" s="2"/>
      <c r="D7" s="2"/>
      <c r="E7" s="2">
        <v>24.1</v>
      </c>
      <c r="F7" s="2">
        <v>24.59</v>
      </c>
      <c r="G7">
        <v>21.028675</v>
      </c>
      <c r="H7" s="2">
        <v>8.81</v>
      </c>
      <c r="I7" s="4"/>
      <c r="J7" s="2">
        <v>16.559999999999999</v>
      </c>
      <c r="K7" s="2">
        <v>12.63</v>
      </c>
      <c r="L7" s="2"/>
      <c r="M7" s="2"/>
      <c r="N7" s="2"/>
      <c r="O7" s="2">
        <v>32</v>
      </c>
      <c r="P7" s="2">
        <v>41</v>
      </c>
      <c r="S7" s="8">
        <v>43832.125</v>
      </c>
      <c r="T7">
        <v>22.098675</v>
      </c>
      <c r="V7" s="8">
        <v>43832.166666666672</v>
      </c>
      <c r="W7">
        <v>21.938675</v>
      </c>
      <c r="X7">
        <v>90.973219999999998</v>
      </c>
      <c r="Y7">
        <v>90.973219999999998</v>
      </c>
      <c r="Z7" s="10">
        <v>0.16666666666666666</v>
      </c>
      <c r="AA7" s="11">
        <v>21.94</v>
      </c>
      <c r="AB7" s="11"/>
      <c r="AC7" s="11"/>
      <c r="AD7" s="12">
        <v>14.84</v>
      </c>
    </row>
    <row r="8" spans="1:34" ht="17.399999999999999" thickBot="1" x14ac:dyDescent="0.35">
      <c r="A8" s="6"/>
      <c r="B8" s="2" t="s">
        <v>12</v>
      </c>
      <c r="C8" s="2"/>
      <c r="D8" s="2">
        <v>26</v>
      </c>
      <c r="E8" s="2">
        <v>25.56</v>
      </c>
      <c r="F8" s="2">
        <v>27</v>
      </c>
      <c r="G8">
        <v>22.788672999999999</v>
      </c>
      <c r="H8" s="2">
        <v>8.84</v>
      </c>
      <c r="I8" s="4"/>
      <c r="J8" s="2">
        <v>17.41</v>
      </c>
      <c r="K8" s="2">
        <v>12.77</v>
      </c>
      <c r="L8" s="2"/>
      <c r="M8" s="2"/>
      <c r="N8" s="2"/>
      <c r="O8" s="2">
        <v>40</v>
      </c>
      <c r="P8" s="2">
        <v>57</v>
      </c>
      <c r="S8" s="8">
        <v>43832.166666666672</v>
      </c>
      <c r="T8">
        <v>21.938675</v>
      </c>
      <c r="V8" s="8">
        <v>43832.208333333328</v>
      </c>
      <c r="W8">
        <v>21.868673000000001</v>
      </c>
      <c r="X8">
        <v>91.883835000000005</v>
      </c>
      <c r="Y8">
        <v>91.883835000000005</v>
      </c>
      <c r="Z8" s="10">
        <v>0.20833333333333334</v>
      </c>
      <c r="AA8" s="11">
        <v>21.87</v>
      </c>
      <c r="AB8" s="11"/>
      <c r="AC8" s="11"/>
      <c r="AD8" s="12">
        <v>14.92</v>
      </c>
    </row>
    <row r="9" spans="1:34" ht="17.399999999999999" thickBot="1" x14ac:dyDescent="0.35">
      <c r="A9" s="6"/>
      <c r="B9" s="2" t="s">
        <v>13</v>
      </c>
      <c r="C9" s="2"/>
      <c r="D9" s="2"/>
      <c r="E9" s="2">
        <v>23.5</v>
      </c>
      <c r="F9" s="2">
        <v>24.35</v>
      </c>
      <c r="G9">
        <v>24.038672999999999</v>
      </c>
      <c r="H9" s="2">
        <v>8.84</v>
      </c>
      <c r="I9" s="4"/>
      <c r="J9" s="2">
        <v>11.97</v>
      </c>
      <c r="K9" s="2">
        <v>12.65</v>
      </c>
      <c r="L9" s="2"/>
      <c r="M9" s="2"/>
      <c r="N9" s="2"/>
      <c r="O9" s="2"/>
      <c r="P9" s="2"/>
      <c r="S9" s="8">
        <v>43832.208333333328</v>
      </c>
      <c r="T9">
        <v>21.868673000000001</v>
      </c>
      <c r="V9" s="8">
        <v>43832.25</v>
      </c>
      <c r="W9">
        <v>21.728674000000002</v>
      </c>
      <c r="X9">
        <v>93.556624999999997</v>
      </c>
      <c r="Y9">
        <v>93.556624999999997</v>
      </c>
      <c r="Z9" s="10">
        <v>0.25</v>
      </c>
      <c r="AA9" s="11">
        <v>21.73</v>
      </c>
      <c r="AB9" s="2">
        <v>19.100000000000001</v>
      </c>
      <c r="AC9" s="2">
        <v>19.149999999999999</v>
      </c>
      <c r="AD9" s="12">
        <v>15.07</v>
      </c>
      <c r="AE9" s="2">
        <v>12.66</v>
      </c>
      <c r="AF9" s="2">
        <v>12.72</v>
      </c>
      <c r="AG9" s="2"/>
      <c r="AH9" s="2">
        <v>21</v>
      </c>
    </row>
    <row r="10" spans="1:34" ht="17.399999999999999" thickBot="1" x14ac:dyDescent="0.35">
      <c r="A10" s="6"/>
      <c r="B10" s="2" t="s">
        <v>14</v>
      </c>
      <c r="C10" s="2"/>
      <c r="D10" s="2"/>
      <c r="E10" s="2">
        <v>21.11</v>
      </c>
      <c r="F10" s="2">
        <v>23</v>
      </c>
      <c r="G10">
        <v>25.408674000000001</v>
      </c>
      <c r="H10" s="2">
        <v>8.84</v>
      </c>
      <c r="I10" s="4"/>
      <c r="J10" s="2">
        <v>13.14</v>
      </c>
      <c r="K10" s="2">
        <v>12.98</v>
      </c>
      <c r="L10" s="2"/>
      <c r="M10" s="2"/>
      <c r="N10" s="2"/>
      <c r="O10" s="2"/>
      <c r="P10" s="2"/>
      <c r="S10" s="8">
        <v>43832.25</v>
      </c>
      <c r="T10">
        <v>21.728674000000002</v>
      </c>
      <c r="V10" s="8">
        <v>43832.291666666672</v>
      </c>
      <c r="W10">
        <v>21.448672999999999</v>
      </c>
      <c r="X10">
        <v>94.84</v>
      </c>
      <c r="Y10">
        <v>94.84</v>
      </c>
      <c r="Z10" s="10">
        <v>0.29166666666666669</v>
      </c>
      <c r="AA10" s="11">
        <v>21.45</v>
      </c>
      <c r="AB10">
        <f>AVERAGE(AB9,AB11)</f>
        <v>19.385000000000002</v>
      </c>
      <c r="AC10">
        <f>AVERAGE(AC9,AC11)</f>
        <v>20.145</v>
      </c>
      <c r="AD10" s="12">
        <v>15.01</v>
      </c>
      <c r="AE10">
        <f>AVERAGE(AE9,AE11)</f>
        <v>12.870000000000001</v>
      </c>
      <c r="AF10">
        <f>AVERAGE(AF9,AF11)</f>
        <v>12.83</v>
      </c>
      <c r="AG10" s="2"/>
      <c r="AH10" s="2"/>
    </row>
    <row r="11" spans="1:34" ht="17.399999999999999" thickBot="1" x14ac:dyDescent="0.35">
      <c r="A11" s="6"/>
      <c r="B11" s="2" t="s">
        <v>15</v>
      </c>
      <c r="C11" s="2"/>
      <c r="D11" s="2"/>
      <c r="E11" s="2">
        <v>21.09</v>
      </c>
      <c r="F11" s="2">
        <v>20.22</v>
      </c>
      <c r="G11">
        <v>25.448672999999999</v>
      </c>
      <c r="H11" s="2">
        <v>8.84</v>
      </c>
      <c r="I11" s="4"/>
      <c r="J11" s="2">
        <v>11.9</v>
      </c>
      <c r="K11" s="2">
        <v>12.98</v>
      </c>
      <c r="L11" s="2"/>
      <c r="M11" s="2"/>
      <c r="N11" s="2"/>
      <c r="O11" s="2"/>
      <c r="P11" s="2"/>
      <c r="S11" s="8">
        <v>43832.291666666672</v>
      </c>
      <c r="T11">
        <v>21.448672999999999</v>
      </c>
      <c r="V11" s="8">
        <v>43832.333333333328</v>
      </c>
      <c r="W11">
        <v>21.048673999999998</v>
      </c>
      <c r="X11">
        <v>96.623589999999993</v>
      </c>
      <c r="Y11">
        <v>96.623589999999993</v>
      </c>
      <c r="Z11" s="10">
        <v>0.33333333333333331</v>
      </c>
      <c r="AA11" s="11">
        <v>21.05</v>
      </c>
      <c r="AB11" s="2">
        <v>19.670000000000002</v>
      </c>
      <c r="AC11" s="2">
        <v>21.14</v>
      </c>
      <c r="AD11" s="12">
        <v>14.92</v>
      </c>
      <c r="AE11" s="2">
        <v>13.08</v>
      </c>
      <c r="AF11" s="2">
        <v>12.94</v>
      </c>
    </row>
    <row r="12" spans="1:34" ht="17.399999999999999" thickBot="1" x14ac:dyDescent="0.35">
      <c r="A12" s="7">
        <v>46244</v>
      </c>
      <c r="B12" s="2" t="s">
        <v>9</v>
      </c>
      <c r="C12" s="2"/>
      <c r="D12" s="2"/>
      <c r="E12" s="2"/>
      <c r="F12" s="2"/>
      <c r="G12" s="2"/>
      <c r="H12" s="2">
        <v>9.18</v>
      </c>
      <c r="I12" s="2"/>
      <c r="J12" s="2">
        <v>9.18</v>
      </c>
      <c r="K12" s="2">
        <v>12.98</v>
      </c>
      <c r="L12" s="2"/>
      <c r="M12" s="2"/>
      <c r="N12" s="2"/>
      <c r="O12" s="2"/>
      <c r="P12" s="2"/>
      <c r="S12" s="8">
        <v>43832.333333333328</v>
      </c>
      <c r="T12">
        <v>21.048673999999998</v>
      </c>
      <c r="V12" s="8">
        <v>43832.375</v>
      </c>
      <c r="W12">
        <v>21.068674000000001</v>
      </c>
      <c r="X12">
        <v>96.744834999999995</v>
      </c>
      <c r="Y12">
        <v>96.744834999999995</v>
      </c>
      <c r="Z12" s="10">
        <v>0.375</v>
      </c>
      <c r="AA12" s="11">
        <v>21.07</v>
      </c>
      <c r="AB12">
        <f>AVERAGE(AB11,AB13)</f>
        <v>20.23</v>
      </c>
      <c r="AC12">
        <f>AVERAGE(AC11,AC13)</f>
        <v>22.75</v>
      </c>
      <c r="AD12" s="12">
        <v>14.96</v>
      </c>
      <c r="AE12">
        <f>AVERAGE(AE11,AE13)</f>
        <v>13</v>
      </c>
      <c r="AF12">
        <f>AVERAGE(AF11,AF13)</f>
        <v>13.385</v>
      </c>
      <c r="AG12" s="2">
        <v>27</v>
      </c>
      <c r="AH12" s="2">
        <v>37</v>
      </c>
    </row>
    <row r="13" spans="1:34" ht="17.399999999999999" thickBot="1" x14ac:dyDescent="0.35">
      <c r="A13" s="6"/>
      <c r="B13" s="2" t="s">
        <v>8</v>
      </c>
      <c r="C13" s="2"/>
      <c r="D13" s="2"/>
      <c r="E13" s="2"/>
      <c r="F13" s="2"/>
      <c r="G13" s="2"/>
      <c r="H13" s="2">
        <v>9.5</v>
      </c>
      <c r="I13" s="2"/>
      <c r="J13" s="2">
        <v>12.81</v>
      </c>
      <c r="K13" s="2">
        <v>12.98</v>
      </c>
      <c r="L13" s="2"/>
      <c r="M13" s="2"/>
      <c r="N13" s="2"/>
      <c r="O13" s="2"/>
      <c r="P13" s="2"/>
      <c r="S13" s="8">
        <v>43832.375</v>
      </c>
      <c r="T13">
        <v>21.068674000000001</v>
      </c>
      <c r="V13" s="8">
        <v>43832.416666666672</v>
      </c>
      <c r="W13">
        <v>21.128674</v>
      </c>
      <c r="X13">
        <v>95.245620000000002</v>
      </c>
      <c r="Y13">
        <v>95.245620000000002</v>
      </c>
      <c r="Z13" s="10">
        <v>0.41666666666666669</v>
      </c>
      <c r="AA13" s="11">
        <v>21.13</v>
      </c>
      <c r="AB13" s="2">
        <v>20.79</v>
      </c>
      <c r="AC13" s="2">
        <v>24.36</v>
      </c>
      <c r="AD13" s="12">
        <v>14.78</v>
      </c>
      <c r="AE13" s="2">
        <v>12.92</v>
      </c>
      <c r="AF13" s="2">
        <v>13.83</v>
      </c>
    </row>
    <row r="14" spans="1:34" ht="17.399999999999999" thickBot="1" x14ac:dyDescent="0.35">
      <c r="A14" s="6"/>
      <c r="B14" s="2" t="s">
        <v>10</v>
      </c>
      <c r="C14" s="2"/>
      <c r="D14" s="2"/>
      <c r="E14" s="2"/>
      <c r="F14" s="2"/>
      <c r="G14" s="2"/>
      <c r="H14" s="2">
        <v>9.23</v>
      </c>
      <c r="J14" s="2">
        <v>12.56</v>
      </c>
      <c r="K14" s="2">
        <v>12.98</v>
      </c>
      <c r="L14" s="2"/>
      <c r="M14" s="2"/>
      <c r="N14" s="2"/>
      <c r="O14" s="2"/>
      <c r="P14" s="2"/>
      <c r="S14" s="8">
        <v>43832.416666666672</v>
      </c>
      <c r="T14">
        <v>21.128674</v>
      </c>
      <c r="V14" s="8">
        <v>43832.458333333328</v>
      </c>
      <c r="W14">
        <v>21.168673999999999</v>
      </c>
      <c r="X14">
        <v>95.187269999999998</v>
      </c>
      <c r="Y14">
        <v>95.187269999999998</v>
      </c>
      <c r="Z14" s="10">
        <v>0.45833333333333331</v>
      </c>
      <c r="AA14" s="11">
        <v>21.17</v>
      </c>
      <c r="AB14">
        <f>AVERAGE(AB13,AB15)</f>
        <v>22.445</v>
      </c>
      <c r="AC14">
        <f>AVERAGE(AC13,AC15)</f>
        <v>24.475000000000001</v>
      </c>
      <c r="AD14" s="12">
        <v>14.81</v>
      </c>
      <c r="AE14">
        <f>AVERAGE(AE13,AE15)</f>
        <v>14.739999999999998</v>
      </c>
      <c r="AF14">
        <f>AVERAGE(AF13,AF15)</f>
        <v>13.23</v>
      </c>
      <c r="AG14" s="2">
        <v>32</v>
      </c>
      <c r="AH14" s="2">
        <v>41</v>
      </c>
    </row>
    <row r="15" spans="1:34" ht="17.399999999999999" thickBot="1" x14ac:dyDescent="0.35">
      <c r="A15" s="6"/>
      <c r="B15" s="2" t="s">
        <v>11</v>
      </c>
      <c r="C15" s="2"/>
      <c r="D15" s="2"/>
      <c r="E15" s="2"/>
      <c r="F15" s="2"/>
      <c r="G15" s="2"/>
      <c r="H15" s="2">
        <v>8.75</v>
      </c>
      <c r="I15" s="2"/>
      <c r="J15" s="2">
        <v>12.56</v>
      </c>
      <c r="K15" s="2">
        <v>12.98</v>
      </c>
      <c r="L15" s="2"/>
      <c r="M15" s="2"/>
      <c r="N15" s="2"/>
      <c r="O15" s="2"/>
      <c r="P15" s="2"/>
      <c r="S15" s="8">
        <v>43832.458333333328</v>
      </c>
      <c r="T15">
        <v>21.168673999999999</v>
      </c>
      <c r="V15" s="8">
        <v>43832.5</v>
      </c>
      <c r="W15">
        <v>21.028675</v>
      </c>
      <c r="X15">
        <v>93.585030000000003</v>
      </c>
      <c r="Y15">
        <v>93.585030000000003</v>
      </c>
      <c r="Z15" s="10">
        <v>0.5</v>
      </c>
      <c r="AA15" s="11">
        <v>21.03</v>
      </c>
      <c r="AB15" s="2">
        <v>24.1</v>
      </c>
      <c r="AC15" s="2">
        <v>24.59</v>
      </c>
      <c r="AD15" s="12">
        <v>14.43</v>
      </c>
      <c r="AE15" s="2">
        <v>16.559999999999999</v>
      </c>
      <c r="AF15" s="2">
        <v>12.63</v>
      </c>
    </row>
    <row r="16" spans="1:34" ht="17.399999999999999" thickBot="1" x14ac:dyDescent="0.35">
      <c r="A16" s="6"/>
      <c r="B16" s="2" t="s">
        <v>12</v>
      </c>
      <c r="C16" s="2"/>
      <c r="D16" s="2"/>
      <c r="E16" s="2"/>
      <c r="F16" s="2"/>
      <c r="G16" s="2"/>
      <c r="H16" s="2">
        <v>8.8800000000000008</v>
      </c>
      <c r="I16" s="3">
        <v>14.45</v>
      </c>
      <c r="J16" s="2">
        <v>12.56</v>
      </c>
      <c r="K16" s="2">
        <v>12.98</v>
      </c>
      <c r="L16" s="2"/>
      <c r="M16" s="2"/>
      <c r="N16" s="2"/>
      <c r="O16" s="2"/>
      <c r="P16" s="2"/>
      <c r="S16" s="8">
        <v>43832.5</v>
      </c>
      <c r="T16">
        <v>21.028675</v>
      </c>
      <c r="V16" s="8">
        <v>43832.541666666672</v>
      </c>
      <c r="W16">
        <v>21.688675</v>
      </c>
      <c r="X16">
        <v>87.593419999999995</v>
      </c>
      <c r="Y16">
        <v>87.593419999999995</v>
      </c>
      <c r="Z16" s="10">
        <v>0.54166666666666663</v>
      </c>
      <c r="AA16" s="11">
        <v>21.69</v>
      </c>
      <c r="AB16">
        <f>AVERAGE(AB15,AB17)</f>
        <v>24.83</v>
      </c>
      <c r="AC16">
        <f>AVERAGE(AC15,AC17)</f>
        <v>25.795000000000002</v>
      </c>
      <c r="AD16" s="12">
        <v>14.06</v>
      </c>
      <c r="AE16">
        <f>AVERAGE(AE15,AE17)</f>
        <v>16.984999999999999</v>
      </c>
      <c r="AF16">
        <f>AVERAGE(AF15,AF17)</f>
        <v>12.7</v>
      </c>
      <c r="AG16" s="2">
        <v>40</v>
      </c>
      <c r="AH16" s="2">
        <v>57</v>
      </c>
    </row>
    <row r="17" spans="1:46" ht="17.399999999999999" thickBot="1" x14ac:dyDescent="0.35">
      <c r="A17" s="6"/>
      <c r="B17" s="2" t="s">
        <v>13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S17" s="8">
        <v>43832.541666666672</v>
      </c>
      <c r="T17">
        <v>21.688675</v>
      </c>
      <c r="V17" s="8">
        <v>43832.583333333328</v>
      </c>
      <c r="W17">
        <v>22.788672999999999</v>
      </c>
      <c r="X17">
        <v>77.416240000000002</v>
      </c>
      <c r="Y17">
        <v>77.416240000000002</v>
      </c>
      <c r="Z17" s="10">
        <v>0.58333333333333337</v>
      </c>
      <c r="AA17" s="11">
        <v>22.79</v>
      </c>
      <c r="AB17" s="2">
        <v>25.56</v>
      </c>
      <c r="AC17" s="2">
        <v>27</v>
      </c>
      <c r="AD17" s="12">
        <v>13.28</v>
      </c>
      <c r="AE17" s="2">
        <v>17.41</v>
      </c>
      <c r="AF17" s="2">
        <v>12.77</v>
      </c>
    </row>
    <row r="18" spans="1:46" ht="17.399999999999999" thickBot="1" x14ac:dyDescent="0.35">
      <c r="A18" s="6"/>
      <c r="B18" s="2" t="s">
        <v>14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S18" s="8">
        <v>43832.583333333328</v>
      </c>
      <c r="T18">
        <v>22.788672999999999</v>
      </c>
      <c r="V18" s="8">
        <v>43832.625</v>
      </c>
      <c r="W18">
        <v>23.428674999999998</v>
      </c>
      <c r="X18">
        <v>74.862250000000003</v>
      </c>
      <c r="Y18">
        <v>74.862250000000003</v>
      </c>
      <c r="Z18" s="10">
        <v>0.625</v>
      </c>
      <c r="AA18" s="11">
        <v>23.43</v>
      </c>
      <c r="AB18">
        <f>AVERAGE(AB17,AB19)</f>
        <v>24.53</v>
      </c>
      <c r="AC18">
        <f>AVERAGE(AC17,AC19)</f>
        <v>25.675000000000001</v>
      </c>
      <c r="AD18" s="12">
        <v>13.35</v>
      </c>
      <c r="AE18">
        <f>AVERAGE(AE17,AE19)</f>
        <v>15.190000000000001</v>
      </c>
      <c r="AF18">
        <f>AVERAGE(AF17,AF19)</f>
        <v>12.71</v>
      </c>
    </row>
    <row r="19" spans="1:46" ht="17.399999999999999" thickBot="1" x14ac:dyDescent="0.35">
      <c r="A19" s="6"/>
      <c r="B19" s="2" t="s">
        <v>15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S19" s="8">
        <v>43832.625</v>
      </c>
      <c r="T19">
        <v>23.428674999999998</v>
      </c>
      <c r="V19" s="8">
        <v>43832.666666666672</v>
      </c>
      <c r="W19">
        <v>24.038672999999999</v>
      </c>
      <c r="X19">
        <v>73.230059999999995</v>
      </c>
      <c r="Y19">
        <v>73.230059999999995</v>
      </c>
      <c r="Z19" s="10">
        <v>0.66666666666666663</v>
      </c>
      <c r="AA19" s="11">
        <v>24.04</v>
      </c>
      <c r="AB19" s="2">
        <v>23.5</v>
      </c>
      <c r="AC19" s="2">
        <v>24.35</v>
      </c>
      <c r="AD19" s="12">
        <v>13.55</v>
      </c>
      <c r="AE19" s="2">
        <v>12.97</v>
      </c>
      <c r="AF19" s="2">
        <v>12.65</v>
      </c>
    </row>
    <row r="20" spans="1:46" ht="17.399999999999999" thickBot="1" x14ac:dyDescent="0.35">
      <c r="S20" s="8">
        <v>43832.666666666672</v>
      </c>
      <c r="T20">
        <v>24.038672999999999</v>
      </c>
      <c r="V20" s="8">
        <v>43832.708333333328</v>
      </c>
      <c r="W20">
        <v>24.598675</v>
      </c>
      <c r="X20">
        <v>68.659639999999996</v>
      </c>
      <c r="Y20">
        <v>68.659639999999996</v>
      </c>
      <c r="Z20" s="10">
        <v>0.70833333333333337</v>
      </c>
      <c r="AA20" s="11">
        <v>24.6</v>
      </c>
      <c r="AB20">
        <f>AVERAGE(AB19,AB21)</f>
        <v>22.305</v>
      </c>
      <c r="AC20">
        <f>AVERAGE(AC19,AC21)</f>
        <v>23.675000000000001</v>
      </c>
      <c r="AD20" s="12">
        <v>13.14</v>
      </c>
      <c r="AE20">
        <f>AVERAGE(AE19,AE21)</f>
        <v>13.055</v>
      </c>
      <c r="AF20">
        <f>AVERAGE(AF19,AF21)</f>
        <v>12.815000000000001</v>
      </c>
    </row>
    <row r="21" spans="1:46" ht="17.399999999999999" thickBot="1" x14ac:dyDescent="0.35">
      <c r="S21" s="8">
        <v>43832.708333333328</v>
      </c>
      <c r="T21">
        <v>24.598675</v>
      </c>
      <c r="V21" s="8">
        <v>43832.75</v>
      </c>
      <c r="W21">
        <v>25.408674000000001</v>
      </c>
      <c r="X21">
        <v>67.738640000000004</v>
      </c>
      <c r="Y21">
        <v>67.738640000000004</v>
      </c>
      <c r="Z21" s="10">
        <v>0.75</v>
      </c>
      <c r="AA21" s="11">
        <v>25.41</v>
      </c>
      <c r="AB21" s="2">
        <v>21.11</v>
      </c>
      <c r="AC21" s="2">
        <v>23</v>
      </c>
      <c r="AD21" s="12">
        <v>13.61</v>
      </c>
      <c r="AE21" s="2">
        <v>13.14</v>
      </c>
      <c r="AF21" s="2">
        <v>12.98</v>
      </c>
    </row>
    <row r="22" spans="1:46" ht="17.399999999999999" thickBot="1" x14ac:dyDescent="0.35">
      <c r="S22" s="8">
        <v>43832.75</v>
      </c>
      <c r="T22">
        <v>25.408674000000001</v>
      </c>
      <c r="Z22" s="10">
        <v>0.79166666666666696</v>
      </c>
      <c r="AA22" s="11">
        <v>25.24</v>
      </c>
      <c r="AB22">
        <f>AVERAGE(AB21,AB23)</f>
        <v>21.1</v>
      </c>
      <c r="AC22">
        <f>AVERAGE(AC21,AC23)</f>
        <v>21.61</v>
      </c>
      <c r="AD22" s="12">
        <v>13.91</v>
      </c>
      <c r="AE22">
        <f>AVERAGE(AE21,AE23)</f>
        <v>12.52</v>
      </c>
      <c r="AF22">
        <f>AVERAGE(AF21,AF23)</f>
        <v>12.98</v>
      </c>
    </row>
    <row r="23" spans="1:46" ht="17.399999999999999" thickBot="1" x14ac:dyDescent="0.35">
      <c r="S23" s="8">
        <v>43832.791666666672</v>
      </c>
      <c r="T23">
        <v>25.238674</v>
      </c>
      <c r="Z23" s="10">
        <v>0.83333333333333304</v>
      </c>
      <c r="AA23" s="11">
        <v>25.45</v>
      </c>
      <c r="AB23" s="2">
        <v>21.09</v>
      </c>
      <c r="AC23" s="2">
        <v>20.22</v>
      </c>
      <c r="AD23" s="12">
        <v>14.06</v>
      </c>
      <c r="AE23" s="2">
        <v>11.9</v>
      </c>
      <c r="AF23" s="2">
        <v>12.98</v>
      </c>
    </row>
    <row r="24" spans="1:46" ht="17.399999999999999" thickBot="1" x14ac:dyDescent="0.35">
      <c r="S24" s="8">
        <v>43832.833333333328</v>
      </c>
      <c r="T24">
        <v>25.448672999999999</v>
      </c>
      <c r="Z24" s="10">
        <v>0.875</v>
      </c>
      <c r="AA24" s="11">
        <v>25.22</v>
      </c>
      <c r="AD24" s="12">
        <v>14.47</v>
      </c>
    </row>
    <row r="25" spans="1:46" ht="17.399999999999999" thickBot="1" x14ac:dyDescent="0.35">
      <c r="S25" s="8">
        <v>43832.875</v>
      </c>
      <c r="T25">
        <v>25.218674</v>
      </c>
      <c r="Z25" s="10">
        <v>0.91666666666666596</v>
      </c>
      <c r="AA25" s="11">
        <v>24.54</v>
      </c>
      <c r="AD25" s="12">
        <v>14.78</v>
      </c>
    </row>
    <row r="26" spans="1:46" ht="17.399999999999999" thickBot="1" x14ac:dyDescent="0.35">
      <c r="S26" s="8">
        <v>43832.916666666672</v>
      </c>
      <c r="T26">
        <v>24.538672999999999</v>
      </c>
      <c r="V26" s="9"/>
      <c r="W26" s="9"/>
      <c r="X26" s="9"/>
      <c r="Y26" s="9"/>
      <c r="Z26" t="s">
        <v>35</v>
      </c>
      <c r="AB26" cm="1">
        <f t="array" ref="AB26">SQRT(SUMSQ(AB9:AB23 - AA9:AA23)/COUNTA(AA9:AA23))</f>
        <v>2.6318254121426818</v>
      </c>
      <c r="AC26" cm="1">
        <f t="array" ref="AC26">SQRT(SUMSQ(AC9:AC23 - AA9:AA23)/COUNTA(AA9:AA23))</f>
        <v>2.9678749412107424</v>
      </c>
      <c r="AE26" cm="1">
        <f t="array" ref="AE26">SQRT(SUMSQ(AE9:AE23 - AD9:AD23)/COUNTA(AD9:AD23))</f>
        <v>2.029394819480264</v>
      </c>
      <c r="AF26" cm="1">
        <f t="array" ref="AF26">SQRT(SUMSQ(AF9:AF23 - AD9:AD23)/COUNTA(AD9:AD23))</f>
        <v>1.3947030747319182</v>
      </c>
    </row>
    <row r="27" spans="1:46" ht="17.399999999999999" thickBot="1" x14ac:dyDescent="0.35">
      <c r="S27" s="8">
        <v>43832.958333333328</v>
      </c>
      <c r="T27">
        <v>23.508675</v>
      </c>
      <c r="V27" s="11"/>
      <c r="W27" s="11"/>
      <c r="X27" s="11"/>
      <c r="Y27" s="12"/>
      <c r="Z27" t="s">
        <v>36</v>
      </c>
      <c r="AB27">
        <f>((SUM(AB9:AB23)-SUM(AA9:AA23))/SUM(AA9:AA23))*100</f>
        <v>-3.3799226441631571</v>
      </c>
      <c r="AC27">
        <f>((SUM(AC9:AC23)-SUM(AA9:AA23))/SUM(AA9:AA23))*100</f>
        <v>1.9500117205813492</v>
      </c>
      <c r="AE27">
        <f>((SUM(AE9:AE23)-SUM(AD9:AD23))/SUM(AD9:AD23))*100</f>
        <v>-1.8502864656710929</v>
      </c>
      <c r="AF27">
        <f>((SUM(AF9:AF23)-SUM(AD9:AD23))/SUM(AD9:AD23))*100</f>
        <v>-8.824081901005</v>
      </c>
    </row>
    <row r="28" spans="1:46" ht="17.399999999999999" thickBot="1" x14ac:dyDescent="0.35">
      <c r="S28" s="8"/>
      <c r="V28" s="11"/>
      <c r="W28" s="11"/>
      <c r="X28" s="11"/>
      <c r="Y28" s="12"/>
      <c r="Z28" t="s">
        <v>37</v>
      </c>
      <c r="AB28">
        <f>PEARSON(AA9:AA23,AB9:AB23)</f>
        <v>0.10070908234383015</v>
      </c>
      <c r="AC28">
        <f>PEARSON(AA9:AA23,AC9:AC23)</f>
        <v>-8.7305606967921487E-2</v>
      </c>
      <c r="AE28">
        <f>PEARSON(AD9:AD23,AE9:AE23)</f>
        <v>-0.2728230814760424</v>
      </c>
      <c r="AF28">
        <f>PEARSON(AD9:AD23,AF9:AF23)</f>
        <v>0.42312006672989244</v>
      </c>
    </row>
    <row r="29" spans="1:46" ht="17.399999999999999" thickBot="1" x14ac:dyDescent="0.35">
      <c r="S29" s="8"/>
      <c r="V29" s="11"/>
      <c r="W29" s="11"/>
      <c r="X29" s="11"/>
      <c r="Y29" s="12"/>
    </row>
    <row r="30" spans="1:46" ht="17.399999999999999" thickBot="1" x14ac:dyDescent="0.35">
      <c r="V30" s="11"/>
      <c r="W30" s="11"/>
      <c r="X30" s="11"/>
      <c r="Y30" s="12"/>
      <c r="AA30" s="14" t="s">
        <v>22</v>
      </c>
      <c r="AB30" s="14"/>
      <c r="AC30" s="14"/>
      <c r="AD30" s="13" t="s">
        <v>27</v>
      </c>
      <c r="AE30" s="13"/>
      <c r="AF30" s="13"/>
    </row>
    <row r="31" spans="1:46" ht="51" thickBot="1" x14ac:dyDescent="0.35">
      <c r="V31" s="11"/>
      <c r="W31" s="11"/>
      <c r="X31" s="11"/>
      <c r="Y31" s="12"/>
      <c r="Z31" s="9" t="s">
        <v>0</v>
      </c>
      <c r="AA31" s="9" t="s">
        <v>24</v>
      </c>
      <c r="AB31" s="9" t="s">
        <v>25</v>
      </c>
      <c r="AC31" s="9" t="s">
        <v>26</v>
      </c>
      <c r="AD31" s="9" t="s">
        <v>24</v>
      </c>
      <c r="AE31" s="9" t="s">
        <v>25</v>
      </c>
      <c r="AF31" s="9" t="s">
        <v>26</v>
      </c>
      <c r="AL31" t="s">
        <v>0</v>
      </c>
      <c r="AM31" t="s">
        <v>28</v>
      </c>
      <c r="AN31" t="s">
        <v>29</v>
      </c>
      <c r="AO31" t="s">
        <v>30</v>
      </c>
      <c r="AP31" t="s">
        <v>31</v>
      </c>
      <c r="AR31" s="9" t="s">
        <v>32</v>
      </c>
      <c r="AS31" s="9" t="s">
        <v>33</v>
      </c>
      <c r="AT31" s="9" t="s">
        <v>34</v>
      </c>
    </row>
    <row r="32" spans="1:46" ht="17.399999999999999" thickBot="1" x14ac:dyDescent="0.35">
      <c r="V32" s="11"/>
      <c r="W32" s="11"/>
      <c r="X32" s="11"/>
      <c r="Y32" s="12"/>
      <c r="Z32" s="10">
        <v>0</v>
      </c>
      <c r="AA32">
        <v>18.698672999999999</v>
      </c>
      <c r="AD32" s="12">
        <v>10.34</v>
      </c>
      <c r="AL32" s="10">
        <v>0</v>
      </c>
      <c r="AM32">
        <v>19.868673000000001</v>
      </c>
      <c r="AN32">
        <v>18.698672999999999</v>
      </c>
      <c r="AO32">
        <v>82.906040000000004</v>
      </c>
      <c r="AP32">
        <v>77.646193999999994</v>
      </c>
      <c r="AR32" s="10">
        <v>0</v>
      </c>
      <c r="AS32" s="12">
        <v>11.88</v>
      </c>
      <c r="AT32" s="12">
        <v>10.34</v>
      </c>
    </row>
    <row r="33" spans="23:46" ht="17.399999999999999" thickBot="1" x14ac:dyDescent="0.35">
      <c r="Z33" s="10">
        <v>4.1666666666666664E-2</v>
      </c>
      <c r="AA33">
        <v>17.928674999999998</v>
      </c>
      <c r="AD33" s="12">
        <v>9.86</v>
      </c>
      <c r="AL33" s="10">
        <v>4.1666666666666664E-2</v>
      </c>
      <c r="AM33">
        <v>19.558674</v>
      </c>
      <c r="AN33">
        <v>17.928674999999998</v>
      </c>
      <c r="AO33">
        <v>84.702529999999996</v>
      </c>
      <c r="AP33">
        <v>77.782600000000002</v>
      </c>
      <c r="AR33" s="10">
        <v>4.1666666666666664E-2</v>
      </c>
      <c r="AS33" s="12">
        <v>11.91</v>
      </c>
      <c r="AT33" s="12">
        <v>9.86</v>
      </c>
    </row>
    <row r="34" spans="23:46" ht="17.399999999999999" thickBot="1" x14ac:dyDescent="0.35">
      <c r="Z34" s="10">
        <v>8.3333333333333329E-2</v>
      </c>
      <c r="AA34">
        <v>17.848675</v>
      </c>
      <c r="AD34" s="12">
        <v>9.93</v>
      </c>
      <c r="AL34" s="10">
        <v>8.3333333333333329E-2</v>
      </c>
      <c r="AM34">
        <v>19.378674</v>
      </c>
      <c r="AN34">
        <v>17.848675</v>
      </c>
      <c r="AO34">
        <v>84.846794000000003</v>
      </c>
      <c r="AP34">
        <v>78.696494999999999</v>
      </c>
      <c r="AR34" s="10">
        <v>8.3333333333333329E-2</v>
      </c>
      <c r="AS34" s="12">
        <v>11.8</v>
      </c>
      <c r="AT34" s="12">
        <v>9.93</v>
      </c>
    </row>
    <row r="35" spans="23:46" ht="17.399999999999999" thickBot="1" x14ac:dyDescent="0.35">
      <c r="W35" s="2" t="s">
        <v>3</v>
      </c>
      <c r="X35" s="2" t="s">
        <v>4</v>
      </c>
      <c r="Z35" s="10">
        <v>0.125</v>
      </c>
      <c r="AA35">
        <v>17.658674000000001</v>
      </c>
      <c r="AD35" s="12">
        <v>9.8800000000000008</v>
      </c>
      <c r="AL35" s="10">
        <v>0.125</v>
      </c>
      <c r="AM35">
        <v>19.378674</v>
      </c>
      <c r="AN35">
        <v>17.658674000000001</v>
      </c>
      <c r="AO35">
        <v>85.339479999999995</v>
      </c>
      <c r="AP35">
        <v>79.239689999999996</v>
      </c>
      <c r="AR35" s="10">
        <v>0.125</v>
      </c>
      <c r="AS35" s="12">
        <v>11.86</v>
      </c>
      <c r="AT35" s="12">
        <v>9.8800000000000008</v>
      </c>
    </row>
    <row r="36" spans="23:46" ht="17.399999999999999" thickBot="1" x14ac:dyDescent="0.35">
      <c r="W36" s="2">
        <v>16.38</v>
      </c>
      <c r="X36" s="2"/>
      <c r="Z36" s="10">
        <v>0.16666666666666666</v>
      </c>
      <c r="AA36">
        <v>17.268673</v>
      </c>
      <c r="AD36" s="12">
        <v>9.75</v>
      </c>
      <c r="AL36" s="10">
        <v>0.16666666666666666</v>
      </c>
      <c r="AM36">
        <v>19.288672999999999</v>
      </c>
      <c r="AN36">
        <v>17.268673</v>
      </c>
      <c r="AO36">
        <v>86.212715000000003</v>
      </c>
      <c r="AP36">
        <v>80.180824000000001</v>
      </c>
      <c r="AR36" s="10">
        <v>0.16666666666666666</v>
      </c>
      <c r="AS36" s="12">
        <v>11.92</v>
      </c>
      <c r="AT36" s="12">
        <v>9.75</v>
      </c>
    </row>
    <row r="37" spans="23:46" ht="17.399999999999999" thickBot="1" x14ac:dyDescent="0.35">
      <c r="W37" s="2"/>
      <c r="X37" s="2"/>
      <c r="Z37" s="10">
        <v>0.20833333333333334</v>
      </c>
      <c r="AA37">
        <v>17.358673</v>
      </c>
      <c r="AD37" s="12">
        <v>9.7799999999999994</v>
      </c>
      <c r="AL37" s="10">
        <v>0.20833333333333334</v>
      </c>
      <c r="AM37">
        <v>19.328673999999999</v>
      </c>
      <c r="AN37">
        <v>17.358673</v>
      </c>
      <c r="AO37">
        <v>86.77216</v>
      </c>
      <c r="AP37">
        <v>79.929855000000003</v>
      </c>
      <c r="AR37" s="10">
        <v>0.20833333333333334</v>
      </c>
      <c r="AS37" s="12">
        <v>12.03</v>
      </c>
      <c r="AT37" s="12">
        <v>9.7799999999999994</v>
      </c>
    </row>
    <row r="38" spans="23:46" ht="17.399999999999999" thickBot="1" x14ac:dyDescent="0.35">
      <c r="W38" s="2">
        <v>16.41</v>
      </c>
      <c r="X38" s="2">
        <v>22.55</v>
      </c>
      <c r="Z38" s="10">
        <v>0.25</v>
      </c>
      <c r="AA38">
        <v>17.158674000000001</v>
      </c>
      <c r="AB38" s="2">
        <v>16.38</v>
      </c>
      <c r="AC38" s="2">
        <v>16.38</v>
      </c>
      <c r="AD38" s="12">
        <v>9.61</v>
      </c>
      <c r="AE38" s="2">
        <v>9.18</v>
      </c>
      <c r="AF38" s="4">
        <v>8.84</v>
      </c>
      <c r="AL38" s="10">
        <v>0.25</v>
      </c>
      <c r="AM38">
        <v>19.068674000000001</v>
      </c>
      <c r="AN38">
        <v>17.158674000000001</v>
      </c>
      <c r="AO38">
        <v>87.195130000000006</v>
      </c>
      <c r="AP38">
        <v>79.533294999999995</v>
      </c>
      <c r="AR38" s="10">
        <v>0.25</v>
      </c>
      <c r="AS38" s="12">
        <v>11.89</v>
      </c>
      <c r="AT38" s="12">
        <v>9.61</v>
      </c>
    </row>
    <row r="39" spans="23:46" ht="17.399999999999999" thickBot="1" x14ac:dyDescent="0.35">
      <c r="W39" s="2"/>
      <c r="X39" s="2"/>
      <c r="Z39" s="10">
        <v>0.29166666666666669</v>
      </c>
      <c r="AA39">
        <v>17.418673999999999</v>
      </c>
      <c r="AB39" s="2">
        <v>16.38</v>
      </c>
      <c r="AC39" s="2">
        <v>16.38</v>
      </c>
      <c r="AD39" s="12">
        <v>9.7899999999999991</v>
      </c>
      <c r="AE39">
        <f>AVERAGE(AE38,AE40)</f>
        <v>9.24</v>
      </c>
      <c r="AF39">
        <f>AVERAGE(AF38,AF40)</f>
        <v>8.9250000000000007</v>
      </c>
      <c r="AL39" s="10">
        <v>0.29166666666666669</v>
      </c>
      <c r="AM39">
        <v>18.788672999999999</v>
      </c>
      <c r="AN39">
        <v>17.418673999999999</v>
      </c>
      <c r="AO39">
        <v>86.497659999999996</v>
      </c>
      <c r="AP39">
        <v>79.728133999999997</v>
      </c>
      <c r="AR39" s="10">
        <v>0.29166666666666669</v>
      </c>
      <c r="AS39" s="12">
        <v>11.59</v>
      </c>
      <c r="AT39" s="12">
        <v>9.7899999999999991</v>
      </c>
    </row>
    <row r="40" spans="23:46" ht="17.399999999999999" thickBot="1" x14ac:dyDescent="0.35">
      <c r="W40" s="2"/>
      <c r="X40" s="2">
        <v>26</v>
      </c>
      <c r="Z40" s="10">
        <v>0.33333333333333331</v>
      </c>
      <c r="AA40">
        <v>17.088674999999999</v>
      </c>
      <c r="AB40" s="2">
        <v>16.38</v>
      </c>
      <c r="AC40" s="2">
        <f>(AC38+AC42)/2</f>
        <v>19.465</v>
      </c>
      <c r="AD40" s="12">
        <v>9.74</v>
      </c>
      <c r="AE40" s="2">
        <v>9.3000000000000007</v>
      </c>
      <c r="AF40" s="4">
        <v>9.01</v>
      </c>
      <c r="AL40" s="10">
        <v>0.33333333333333331</v>
      </c>
      <c r="AM40">
        <v>18.588674999999999</v>
      </c>
      <c r="AN40">
        <v>17.088674999999999</v>
      </c>
      <c r="AO40">
        <v>87.432590000000005</v>
      </c>
      <c r="AP40">
        <v>81.005539999999996</v>
      </c>
      <c r="AR40" s="10">
        <v>0.33333333333333331</v>
      </c>
      <c r="AS40" s="12">
        <v>11.57</v>
      </c>
      <c r="AT40" s="12">
        <v>9.74</v>
      </c>
    </row>
    <row r="41" spans="23:46" ht="17.399999999999999" thickBot="1" x14ac:dyDescent="0.35">
      <c r="W41" s="2"/>
      <c r="X41" s="2"/>
      <c r="Z41" s="10">
        <v>0.375</v>
      </c>
      <c r="AA41">
        <v>16.768673</v>
      </c>
      <c r="AB41" s="2">
        <v>16.38</v>
      </c>
      <c r="AC41" s="2">
        <v>19.465</v>
      </c>
      <c r="AD41" s="12">
        <v>9.58</v>
      </c>
      <c r="AE41">
        <f>AVERAGE(AE40,AE42)</f>
        <v>9.07</v>
      </c>
      <c r="AF41">
        <f>AVERAGE(AF40,AF42)</f>
        <v>9.2749999999999986</v>
      </c>
      <c r="AL41" s="10">
        <v>0.375</v>
      </c>
      <c r="AM41">
        <v>18.538672999999999</v>
      </c>
      <c r="AN41">
        <v>16.768673</v>
      </c>
      <c r="AO41">
        <v>86.753240000000005</v>
      </c>
      <c r="AP41">
        <v>81.337209999999999</v>
      </c>
      <c r="AR41" s="10">
        <v>0.375</v>
      </c>
      <c r="AS41" s="12">
        <v>11.44</v>
      </c>
      <c r="AT41" s="12">
        <v>9.58</v>
      </c>
    </row>
    <row r="42" spans="23:46" ht="17.399999999999999" thickBot="1" x14ac:dyDescent="0.35">
      <c r="W42" s="2"/>
      <c r="X42" s="2"/>
      <c r="Z42" s="10">
        <v>0.41666666666666669</v>
      </c>
      <c r="AA42">
        <v>16.878674</v>
      </c>
      <c r="AB42" s="2">
        <v>16.41</v>
      </c>
      <c r="AC42" s="2">
        <v>22.55</v>
      </c>
      <c r="AD42" s="12">
        <v>9.65</v>
      </c>
      <c r="AE42" s="2">
        <v>8.84</v>
      </c>
      <c r="AF42" s="4">
        <v>9.5399999999999991</v>
      </c>
      <c r="AL42" s="10">
        <v>0.41666666666666669</v>
      </c>
      <c r="AM42">
        <v>18.618673000000001</v>
      </c>
      <c r="AN42">
        <v>16.878674</v>
      </c>
      <c r="AO42">
        <v>86.760859999999994</v>
      </c>
      <c r="AP42">
        <v>81.351906</v>
      </c>
      <c r="AR42" s="10">
        <v>0.41666666666666669</v>
      </c>
      <c r="AS42" s="12">
        <v>11.5</v>
      </c>
      <c r="AT42" s="12">
        <v>9.65</v>
      </c>
    </row>
    <row r="43" spans="23:46" ht="17.399999999999999" thickBot="1" x14ac:dyDescent="0.35">
      <c r="W43" s="2"/>
      <c r="X43" s="2"/>
      <c r="Z43" s="10">
        <v>0.45833333333333331</v>
      </c>
      <c r="AA43">
        <v>16.728674000000002</v>
      </c>
      <c r="AB43" s="2">
        <v>16.41</v>
      </c>
      <c r="AC43" s="2">
        <v>22.55</v>
      </c>
      <c r="AD43" s="12">
        <v>9.61</v>
      </c>
      <c r="AE43">
        <f>AVERAGE(AE42,AE44)</f>
        <v>8.8249999999999993</v>
      </c>
      <c r="AF43">
        <f>AVERAGE(AF42,AF44)</f>
        <v>9.5399999999999991</v>
      </c>
      <c r="AL43" s="10">
        <v>0.45833333333333331</v>
      </c>
      <c r="AM43">
        <v>18.928674999999998</v>
      </c>
      <c r="AN43">
        <v>16.728674000000002</v>
      </c>
      <c r="AO43">
        <v>83.115455999999995</v>
      </c>
      <c r="AP43">
        <v>81.81653</v>
      </c>
      <c r="AR43" s="10">
        <v>0.45833333333333331</v>
      </c>
      <c r="AS43" s="12">
        <v>11.23</v>
      </c>
      <c r="AT43" s="12">
        <v>9.61</v>
      </c>
    </row>
    <row r="44" spans="23:46" ht="17.399999999999999" thickBot="1" x14ac:dyDescent="0.35">
      <c r="Z44" s="10">
        <v>0.5</v>
      </c>
      <c r="AA44">
        <v>16.528673000000001</v>
      </c>
      <c r="AB44" s="2">
        <v>16.41</v>
      </c>
      <c r="AC44">
        <v>24</v>
      </c>
      <c r="AD44" s="12">
        <v>9.48</v>
      </c>
      <c r="AE44" s="2">
        <v>8.81</v>
      </c>
      <c r="AF44" s="4">
        <v>9.5399999999999991</v>
      </c>
      <c r="AL44" s="10">
        <v>0.5</v>
      </c>
      <c r="AM44">
        <v>18.778675</v>
      </c>
      <c r="AN44">
        <v>16.528673000000001</v>
      </c>
      <c r="AO44">
        <v>83.691950000000006</v>
      </c>
      <c r="AP44">
        <v>81.736279999999994</v>
      </c>
      <c r="AR44" s="10">
        <v>0.5</v>
      </c>
      <c r="AS44" s="12">
        <v>11.2</v>
      </c>
      <c r="AT44" s="12">
        <v>9.48</v>
      </c>
    </row>
    <row r="45" spans="23:46" ht="17.399999999999999" thickBot="1" x14ac:dyDescent="0.35">
      <c r="Z45" s="10">
        <v>0.54166666666666663</v>
      </c>
      <c r="AA45">
        <v>17.178673</v>
      </c>
      <c r="AB45" s="2">
        <v>16.41</v>
      </c>
      <c r="AC45">
        <v>24</v>
      </c>
      <c r="AD45" s="12">
        <v>9.4600000000000009</v>
      </c>
      <c r="AE45">
        <f>AVERAGE(AE44,AE46)</f>
        <v>8.8249999999999993</v>
      </c>
      <c r="AF45">
        <f ca="1">AVERAGE(AF44,AF46)</f>
        <v>9.5399999999999991</v>
      </c>
      <c r="AL45" s="10">
        <v>0.54166666666666663</v>
      </c>
      <c r="AM45">
        <v>19.768675000000002</v>
      </c>
      <c r="AN45">
        <v>17.178673</v>
      </c>
      <c r="AO45">
        <v>77.005579999999995</v>
      </c>
      <c r="AP45">
        <v>78.233559999999997</v>
      </c>
      <c r="AR45" s="10">
        <v>0.54166666666666663</v>
      </c>
      <c r="AS45" s="12">
        <v>10.96</v>
      </c>
      <c r="AT45" s="12">
        <v>9.4600000000000009</v>
      </c>
    </row>
    <row r="46" spans="23:46" ht="17.399999999999999" thickBot="1" x14ac:dyDescent="0.35">
      <c r="Z46" s="10">
        <v>0.58333333333333337</v>
      </c>
      <c r="AA46">
        <v>17.778675</v>
      </c>
      <c r="AB46">
        <v>17</v>
      </c>
      <c r="AC46">
        <v>25</v>
      </c>
      <c r="AD46" s="12">
        <v>9.32</v>
      </c>
      <c r="AE46" s="2">
        <v>8.84</v>
      </c>
      <c r="AF46">
        <f ca="1">AVERAGE(AF45,AF47)</f>
        <v>9.5399999999999991</v>
      </c>
      <c r="AL46" s="10">
        <v>0.58333333333333337</v>
      </c>
      <c r="AM46">
        <v>20.728674000000002</v>
      </c>
      <c r="AN46">
        <v>17.778675</v>
      </c>
      <c r="AO46">
        <v>72.744606000000005</v>
      </c>
      <c r="AP46">
        <v>74.19717</v>
      </c>
      <c r="AR46" s="10">
        <v>0.58333333333333337</v>
      </c>
      <c r="AS46" s="12">
        <v>10.99</v>
      </c>
      <c r="AT46" s="12">
        <v>9.32</v>
      </c>
    </row>
    <row r="47" spans="23:46" ht="17.399999999999999" thickBot="1" x14ac:dyDescent="0.35">
      <c r="Z47" s="10">
        <v>0.625</v>
      </c>
      <c r="AA47">
        <v>18.658674000000001</v>
      </c>
      <c r="AB47">
        <v>17</v>
      </c>
      <c r="AC47">
        <v>25</v>
      </c>
      <c r="AD47" s="12">
        <v>9.61</v>
      </c>
      <c r="AE47">
        <f>AVERAGE(AE46,AE48)</f>
        <v>8.84</v>
      </c>
      <c r="AF47" s="4">
        <v>9.5399999999999991</v>
      </c>
      <c r="AL47" s="10">
        <v>0.625</v>
      </c>
      <c r="AM47">
        <v>21.098675</v>
      </c>
      <c r="AN47">
        <v>18.658674000000001</v>
      </c>
      <c r="AO47">
        <v>72.528350000000003</v>
      </c>
      <c r="AP47">
        <v>72.416849999999997</v>
      </c>
      <c r="AR47" s="10">
        <v>0.625</v>
      </c>
      <c r="AS47" s="12">
        <v>11.21</v>
      </c>
      <c r="AT47" s="12">
        <v>9.61</v>
      </c>
    </row>
    <row r="48" spans="23:46" ht="17.399999999999999" thickBot="1" x14ac:dyDescent="0.35">
      <c r="Z48" s="10">
        <v>0.66666666666666663</v>
      </c>
      <c r="AA48">
        <v>19.608675000000002</v>
      </c>
      <c r="AB48">
        <v>19</v>
      </c>
      <c r="AC48">
        <v>26</v>
      </c>
      <c r="AD48" s="12">
        <v>9.61</v>
      </c>
      <c r="AE48" s="2"/>
      <c r="AL48" s="10">
        <v>0.66666666666666663</v>
      </c>
      <c r="AM48">
        <v>21.698672999999999</v>
      </c>
      <c r="AN48">
        <v>19.608675000000002</v>
      </c>
      <c r="AO48">
        <v>71.658469999999994</v>
      </c>
      <c r="AP48">
        <v>68.241060000000004</v>
      </c>
      <c r="AR48" s="10">
        <v>0.66666666666666663</v>
      </c>
      <c r="AS48" s="12">
        <v>11.49</v>
      </c>
      <c r="AT48" s="12">
        <v>9.61</v>
      </c>
    </row>
    <row r="49" spans="26:46" ht="17.399999999999999" thickBot="1" x14ac:dyDescent="0.35">
      <c r="Z49" s="10">
        <v>0.70833333333333337</v>
      </c>
      <c r="AA49">
        <v>20.708673000000001</v>
      </c>
      <c r="AD49" s="12">
        <v>9.25</v>
      </c>
      <c r="AE49" s="2"/>
      <c r="AL49" s="10">
        <v>0.70833333333333337</v>
      </c>
      <c r="AM49">
        <v>22.498674000000001</v>
      </c>
      <c r="AN49">
        <v>20.708673000000001</v>
      </c>
      <c r="AO49">
        <v>67.065690000000004</v>
      </c>
      <c r="AP49">
        <v>61.376404000000001</v>
      </c>
      <c r="AR49" s="10">
        <v>0.70833333333333337</v>
      </c>
      <c r="AS49" s="12">
        <v>11.29</v>
      </c>
      <c r="AT49" s="12">
        <v>9.25</v>
      </c>
    </row>
    <row r="50" spans="26:46" ht="17.399999999999999" thickBot="1" x14ac:dyDescent="0.35">
      <c r="Z50" s="10">
        <v>0.75</v>
      </c>
      <c r="AA50">
        <v>20.948672999999999</v>
      </c>
      <c r="AD50" s="12">
        <v>9.26</v>
      </c>
      <c r="AE50" s="2"/>
      <c r="AL50" s="10">
        <v>0.75</v>
      </c>
      <c r="AM50">
        <v>22.778675</v>
      </c>
      <c r="AN50">
        <v>20.948672999999999</v>
      </c>
      <c r="AO50">
        <v>67.557525999999996</v>
      </c>
      <c r="AP50">
        <v>60.544280000000001</v>
      </c>
      <c r="AR50" s="10">
        <v>0.75</v>
      </c>
      <c r="AS50" s="12">
        <v>11.57</v>
      </c>
      <c r="AT50" s="12">
        <v>9.26</v>
      </c>
    </row>
    <row r="51" spans="26:46" ht="17.399999999999999" thickBot="1" x14ac:dyDescent="0.35">
      <c r="Z51" s="10">
        <v>0.79166666666666696</v>
      </c>
      <c r="AA51">
        <v>21.088674999999999</v>
      </c>
      <c r="AD51" s="12">
        <v>9.5399999999999991</v>
      </c>
      <c r="AL51" s="10">
        <v>0.79166666666666696</v>
      </c>
      <c r="AM51">
        <v>22.658674000000001</v>
      </c>
      <c r="AN51">
        <v>21.088674999999999</v>
      </c>
      <c r="AO51">
        <v>69.968220000000002</v>
      </c>
      <c r="AP51">
        <v>61.790897000000001</v>
      </c>
      <c r="AR51" s="10">
        <v>0.79166666666666663</v>
      </c>
      <c r="AS51" s="12">
        <v>11.9</v>
      </c>
      <c r="AT51" s="12">
        <v>9.5399999999999991</v>
      </c>
    </row>
    <row r="52" spans="26:46" ht="17.399999999999999" thickBot="1" x14ac:dyDescent="0.35">
      <c r="Z52" s="10">
        <v>0.83333333333333304</v>
      </c>
      <c r="AA52">
        <v>20.068674000000001</v>
      </c>
      <c r="AD52" s="12">
        <v>9.2899999999999991</v>
      </c>
      <c r="AE52" s="2"/>
      <c r="AL52" s="10">
        <v>0.83333333333333304</v>
      </c>
      <c r="AM52">
        <v>22.348675</v>
      </c>
      <c r="AN52">
        <v>20.068674000000001</v>
      </c>
      <c r="AO52">
        <v>71.684880000000007</v>
      </c>
      <c r="AP52">
        <v>64.140140000000002</v>
      </c>
      <c r="AR52" s="10">
        <v>0.83333333333333337</v>
      </c>
      <c r="AS52" s="12">
        <v>11.97</v>
      </c>
      <c r="AT52" s="12">
        <v>9.2899999999999991</v>
      </c>
    </row>
    <row r="53" spans="26:46" ht="17.399999999999999" thickBot="1" x14ac:dyDescent="0.35">
      <c r="Z53" s="10">
        <v>0.875</v>
      </c>
      <c r="AA53">
        <v>19.778675</v>
      </c>
      <c r="AD53" s="12">
        <v>9.43</v>
      </c>
      <c r="AL53" s="10">
        <v>0.875</v>
      </c>
      <c r="AM53">
        <v>21.748674000000001</v>
      </c>
      <c r="AN53">
        <v>19.778675</v>
      </c>
      <c r="AO53">
        <v>75.161810000000003</v>
      </c>
      <c r="AP53">
        <v>66.277600000000007</v>
      </c>
      <c r="AR53" s="10">
        <v>0.875</v>
      </c>
      <c r="AS53" s="12">
        <v>12.1</v>
      </c>
      <c r="AT53" s="12">
        <v>9.43</v>
      </c>
    </row>
    <row r="54" spans="26:46" x14ac:dyDescent="0.3">
      <c r="Z54" t="s">
        <v>35</v>
      </c>
      <c r="AB54" cm="1">
        <f t="array" ref="AB54">SQRT(SUMSQ(AB38:AB48 - AA38:AA48)/COUNTA(AA38:AA48))</f>
        <v>0.79730416125169801</v>
      </c>
      <c r="AC54" cm="1">
        <f t="array" ref="AC54">SQRT(SUMSQ(AC38:AC48 - AA38:AA48)/COUNTA(AA38:AA48))</f>
        <v>5.3615997129506887</v>
      </c>
      <c r="AE54" cm="1">
        <f t="array" ref="AE54">SQRT(SUMSQ(AE38:AE48 - AD38:AD48)/COUNTA(AD38:AD48))</f>
        <v>2.9579008219896883</v>
      </c>
      <c r="AF54" cm="1">
        <f t="array" aca="1" ref="AF54" ca="1">SQRT(SUMSQ(AF38:AF48 - AD38:AD48)/COUNTA(AD38:AD48))</f>
        <v>5.3615997129506887</v>
      </c>
      <c r="AL54" s="8"/>
    </row>
    <row r="55" spans="26:46" x14ac:dyDescent="0.3">
      <c r="Z55" t="s">
        <v>36</v>
      </c>
      <c r="AB55">
        <f>((SUM(AB38:AB48)-SUM(AA38:AA48))/SUM(AA38:AA48))*100</f>
        <v>-3.9810201092712245</v>
      </c>
      <c r="AC55">
        <f>((SUM(AC38:AC48)-SUM(AA38:AA48))/SUM(AA38:AA48))*100</f>
        <v>25.545233318248162</v>
      </c>
      <c r="AE55">
        <f>((SUM(AE38:AE48)-SUM(AD38:AD48))/SUM(AD38:AD48))*100</f>
        <v>-14.877678740754749</v>
      </c>
      <c r="AF55">
        <f ca="1">((SUM(AF38:AF48)-SUM(AD38:AD48))/SUM(AD38:AD48))*100</f>
        <v>25.545233318248162</v>
      </c>
    </row>
    <row r="56" spans="26:46" x14ac:dyDescent="0.3">
      <c r="Z56" t="s">
        <v>37</v>
      </c>
      <c r="AB56">
        <f>PEARSON(AA38:AA48,AB38:AB48)</f>
        <v>0.89877191952749735</v>
      </c>
      <c r="AC56">
        <f>PEARSON(AA38:AA48,AC38:AC48)</f>
        <v>0.45502508976215339</v>
      </c>
      <c r="AE56">
        <f>PEARSON(AD38:AD48,AE38:AE48)</f>
        <v>0.67594428950874563</v>
      </c>
      <c r="AF56">
        <f ca="1">PEARSON(AD38:AD48,AF38:AF48)</f>
        <v>0.45502508976215339</v>
      </c>
    </row>
  </sheetData>
  <mergeCells count="15">
    <mergeCell ref="AD2:AF2"/>
    <mergeCell ref="AA2:AC2"/>
    <mergeCell ref="AA30:AC30"/>
    <mergeCell ref="AD30:AF30"/>
    <mergeCell ref="M1:P1"/>
    <mergeCell ref="M2:N2"/>
    <mergeCell ref="O2:P2"/>
    <mergeCell ref="A4:A11"/>
    <mergeCell ref="A12:A19"/>
    <mergeCell ref="C2:D2"/>
    <mergeCell ref="E2:F2"/>
    <mergeCell ref="C1:F1"/>
    <mergeCell ref="H1:K1"/>
    <mergeCell ref="H2:I2"/>
    <mergeCell ref="J2:K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Loyde Vieira de Abreu Harbich</dc:creator>
  <cp:lastModifiedBy>Loyde Vieira de Abreu Harbich</cp:lastModifiedBy>
  <dcterms:created xsi:type="dcterms:W3CDTF">2026-01-30T15:46:56Z</dcterms:created>
  <dcterms:modified xsi:type="dcterms:W3CDTF">2026-02-01T17:06:58Z</dcterms:modified>
</cp:coreProperties>
</file>